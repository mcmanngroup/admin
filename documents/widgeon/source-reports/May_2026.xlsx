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Shared drives\McMann Group-Accounting\01. Projects - Accounting\01. Current Projects- Accounting\06. 2125 Widgeon Road\01. Invoices\2026\2026.05.31\"/>
    </mc:Choice>
  </mc:AlternateContent>
  <xr:revisionPtr revIDLastSave="0" documentId="13_ncr:1_{599A39C9-12A3-4F68-90C2-02662FD5F3D4}" xr6:coauthVersionLast="47" xr6:coauthVersionMax="47" xr10:uidLastSave="{00000000-0000-0000-0000-000000000000}"/>
  <bookViews>
    <workbookView xWindow="-28920" yWindow="15" windowWidth="29040" windowHeight="15720" activeTab="2" xr2:uid="{00000000-000D-0000-FFFF-FFFF00000000}"/>
  </bookViews>
  <sheets>
    <sheet name="Cost Breakdown" sheetId="1" r:id="rId1"/>
    <sheet name="Timesheet" sheetId="2" r:id="rId2"/>
    <sheet name="Materi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3" l="1"/>
  <c r="F56" i="3"/>
  <c r="F52" i="3"/>
  <c r="F47" i="3"/>
  <c r="F43" i="3"/>
  <c r="F37" i="3"/>
  <c r="F32" i="3"/>
  <c r="F28" i="3"/>
  <c r="F23" i="3"/>
  <c r="F20" i="3"/>
  <c r="F16" i="3"/>
  <c r="F12" i="3"/>
  <c r="F9" i="3"/>
  <c r="F5" i="3"/>
  <c r="D193" i="1"/>
  <c r="G67" i="2"/>
  <c r="G66" i="2"/>
  <c r="G65" i="2"/>
  <c r="G64" i="2"/>
  <c r="G63" i="2"/>
  <c r="G62" i="2"/>
  <c r="G61" i="2"/>
  <c r="G60" i="2"/>
  <c r="E67" i="2"/>
  <c r="G53" i="2"/>
  <c r="G52" i="2"/>
  <c r="G51" i="2"/>
  <c r="G50" i="2"/>
  <c r="G49" i="2"/>
  <c r="G48" i="2"/>
  <c r="G47" i="2"/>
  <c r="G46" i="2"/>
  <c r="G45" i="2"/>
  <c r="G44" i="2"/>
  <c r="G43" i="2"/>
  <c r="G42" i="2"/>
  <c r="E32" i="1"/>
  <c r="D27" i="1"/>
  <c r="G59" i="2"/>
  <c r="G58" i="2"/>
  <c r="G57" i="2"/>
  <c r="G56" i="2"/>
  <c r="E41" i="2"/>
  <c r="G41" i="2" s="1"/>
  <c r="G40" i="2"/>
  <c r="G39" i="2"/>
  <c r="E38" i="2"/>
  <c r="G38" i="2" s="1"/>
  <c r="G37" i="2"/>
  <c r="G36" i="2"/>
  <c r="E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D201" i="1"/>
  <c r="C201" i="1"/>
  <c r="B201" i="1"/>
  <c r="E200" i="1"/>
  <c r="E199" i="1"/>
  <c r="E198" i="1"/>
  <c r="E197" i="1"/>
  <c r="C194" i="1"/>
  <c r="B194" i="1"/>
  <c r="E192" i="1"/>
  <c r="D188" i="1"/>
  <c r="C188" i="1"/>
  <c r="B188" i="1"/>
  <c r="E187" i="1"/>
  <c r="E186" i="1"/>
  <c r="E185" i="1"/>
  <c r="E184" i="1"/>
  <c r="D181" i="1"/>
  <c r="C181" i="1"/>
  <c r="B181" i="1"/>
  <c r="E180" i="1"/>
  <c r="E179" i="1"/>
  <c r="E178" i="1"/>
  <c r="E177" i="1"/>
  <c r="D174" i="1"/>
  <c r="C174" i="1"/>
  <c r="B174" i="1"/>
  <c r="E173" i="1"/>
  <c r="E172" i="1"/>
  <c r="E171" i="1"/>
  <c r="E170" i="1"/>
  <c r="D167" i="1"/>
  <c r="C167" i="1"/>
  <c r="B167" i="1"/>
  <c r="E166" i="1"/>
  <c r="E165" i="1"/>
  <c r="E164" i="1"/>
  <c r="E163" i="1"/>
  <c r="E162" i="1"/>
  <c r="D159" i="1"/>
  <c r="C159" i="1"/>
  <c r="B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D142" i="1"/>
  <c r="C142" i="1"/>
  <c r="B142" i="1"/>
  <c r="E141" i="1"/>
  <c r="E140" i="1"/>
  <c r="E139" i="1"/>
  <c r="E138" i="1"/>
  <c r="F137" i="1"/>
  <c r="E137" i="1"/>
  <c r="E136" i="1"/>
  <c r="E135" i="1"/>
  <c r="E134" i="1"/>
  <c r="D131" i="1"/>
  <c r="C131" i="1"/>
  <c r="B131" i="1"/>
  <c r="E130" i="1"/>
  <c r="E129" i="1"/>
  <c r="E128" i="1"/>
  <c r="E127" i="1"/>
  <c r="E126" i="1"/>
  <c r="E125" i="1"/>
  <c r="E124" i="1"/>
  <c r="E123" i="1"/>
  <c r="E122" i="1"/>
  <c r="E121" i="1"/>
  <c r="D118" i="1"/>
  <c r="C118" i="1"/>
  <c r="B118" i="1"/>
  <c r="E117" i="1"/>
  <c r="E116" i="1"/>
  <c r="E115" i="1"/>
  <c r="E114" i="1"/>
  <c r="E118" i="1" s="1"/>
  <c r="D111" i="1"/>
  <c r="C111" i="1"/>
  <c r="B111" i="1"/>
  <c r="E110" i="1"/>
  <c r="E109" i="1"/>
  <c r="D106" i="1"/>
  <c r="C106" i="1"/>
  <c r="B106" i="1"/>
  <c r="E105" i="1"/>
  <c r="E104" i="1"/>
  <c r="E103" i="1"/>
  <c r="E102" i="1"/>
  <c r="E101" i="1"/>
  <c r="E100" i="1"/>
  <c r="D97" i="1"/>
  <c r="C97" i="1"/>
  <c r="B97" i="1"/>
  <c r="E96" i="1"/>
  <c r="E95" i="1"/>
  <c r="E94" i="1"/>
  <c r="D91" i="1"/>
  <c r="C91" i="1"/>
  <c r="B91" i="1"/>
  <c r="E90" i="1"/>
  <c r="F89" i="1"/>
  <c r="E89" i="1"/>
  <c r="E88" i="1"/>
  <c r="D85" i="1"/>
  <c r="C85" i="1"/>
  <c r="B85" i="1"/>
  <c r="E84" i="1"/>
  <c r="E83" i="1"/>
  <c r="E82" i="1"/>
  <c r="E81" i="1"/>
  <c r="E80" i="1"/>
  <c r="D77" i="1"/>
  <c r="C77" i="1"/>
  <c r="B77" i="1"/>
  <c r="E76" i="1"/>
  <c r="E75" i="1"/>
  <c r="E74" i="1"/>
  <c r="D71" i="1"/>
  <c r="C71" i="1"/>
  <c r="B71" i="1"/>
  <c r="E70" i="1"/>
  <c r="E69" i="1"/>
  <c r="E68" i="1"/>
  <c r="E67" i="1"/>
  <c r="E66" i="1"/>
  <c r="D63" i="1"/>
  <c r="C63" i="1"/>
  <c r="B63" i="1"/>
  <c r="E62" i="1"/>
  <c r="E61" i="1"/>
  <c r="E60" i="1"/>
  <c r="D57" i="1"/>
  <c r="C57" i="1"/>
  <c r="B57" i="1"/>
  <c r="E56" i="1"/>
  <c r="E55" i="1"/>
  <c r="D52" i="1"/>
  <c r="C52" i="1"/>
  <c r="B52" i="1"/>
  <c r="E51" i="1"/>
  <c r="E50" i="1"/>
  <c r="E49" i="1"/>
  <c r="E48" i="1"/>
  <c r="E47" i="1"/>
  <c r="E46" i="1"/>
  <c r="E45" i="1"/>
  <c r="D42" i="1"/>
  <c r="C42" i="1"/>
  <c r="B42" i="1"/>
  <c r="E41" i="1"/>
  <c r="E40" i="1"/>
  <c r="E39" i="1"/>
  <c r="E38" i="1"/>
  <c r="E37" i="1"/>
  <c r="E36" i="1"/>
  <c r="E35" i="1"/>
  <c r="E34" i="1"/>
  <c r="E33" i="1"/>
  <c r="E31" i="1"/>
  <c r="E30" i="1"/>
  <c r="C27" i="1"/>
  <c r="B27" i="1"/>
  <c r="E26" i="1"/>
  <c r="E25" i="1"/>
  <c r="E24" i="1"/>
  <c r="E23" i="1"/>
  <c r="D20" i="1"/>
  <c r="C20" i="1"/>
  <c r="B20" i="1"/>
  <c r="E19" i="1"/>
  <c r="E18" i="1"/>
  <c r="E17" i="1"/>
  <c r="E16" i="1"/>
  <c r="E15" i="1"/>
  <c r="D12" i="1"/>
  <c r="C12" i="1"/>
  <c r="B12" i="1"/>
  <c r="E11" i="1"/>
  <c r="E10" i="1"/>
  <c r="E9" i="1"/>
  <c r="D6" i="1"/>
  <c r="C6" i="1"/>
  <c r="B6" i="1"/>
  <c r="E5" i="1"/>
  <c r="F63" i="3" l="1"/>
  <c r="E193" i="1"/>
  <c r="E54" i="2"/>
  <c r="G32" i="1"/>
  <c r="H32" i="1"/>
  <c r="F32" i="1"/>
  <c r="B203" i="1"/>
  <c r="H24" i="1"/>
  <c r="C203" i="1"/>
  <c r="H172" i="1"/>
  <c r="G172" i="1"/>
  <c r="F172" i="1"/>
  <c r="E191" i="1"/>
  <c r="D194" i="1"/>
  <c r="D203" i="1" s="1"/>
  <c r="D204" i="1" s="1"/>
  <c r="H154" i="1"/>
  <c r="G154" i="1"/>
  <c r="F154" i="1"/>
  <c r="G137" i="1"/>
  <c r="H137" i="1"/>
  <c r="F81" i="1"/>
  <c r="H81" i="1"/>
  <c r="G81" i="1"/>
  <c r="G35" i="2"/>
  <c r="H200" i="1"/>
  <c r="G200" i="1"/>
  <c r="F200" i="1"/>
  <c r="H199" i="1"/>
  <c r="G199" i="1"/>
  <c r="F199" i="1"/>
  <c r="H198" i="1"/>
  <c r="G198" i="1"/>
  <c r="F198" i="1"/>
  <c r="E201" i="1"/>
  <c r="H197" i="1"/>
  <c r="H201" i="1" s="1"/>
  <c r="G197" i="1"/>
  <c r="G201" i="1" s="1"/>
  <c r="F197" i="1"/>
  <c r="F201" i="1" s="1"/>
  <c r="H193" i="1"/>
  <c r="G193" i="1"/>
  <c r="F193" i="1"/>
  <c r="H192" i="1"/>
  <c r="G192" i="1"/>
  <c r="F192" i="1"/>
  <c r="G191" i="1"/>
  <c r="H191" i="1"/>
  <c r="E194" i="1"/>
  <c r="H187" i="1"/>
  <c r="G187" i="1"/>
  <c r="F187" i="1"/>
  <c r="H186" i="1"/>
  <c r="G186" i="1"/>
  <c r="F186" i="1"/>
  <c r="H185" i="1"/>
  <c r="G185" i="1"/>
  <c r="F185" i="1"/>
  <c r="E188" i="1"/>
  <c r="H184" i="1"/>
  <c r="G184" i="1"/>
  <c r="F184" i="1"/>
  <c r="F180" i="1"/>
  <c r="G180" i="1"/>
  <c r="H180" i="1"/>
  <c r="H179" i="1"/>
  <c r="G179" i="1"/>
  <c r="F179" i="1"/>
  <c r="H178" i="1"/>
  <c r="G178" i="1"/>
  <c r="F178" i="1"/>
  <c r="E181" i="1"/>
  <c r="H177" i="1"/>
  <c r="H181" i="1" s="1"/>
  <c r="G177" i="1"/>
  <c r="G181" i="1" s="1"/>
  <c r="F177" i="1"/>
  <c r="F181" i="1" s="1"/>
  <c r="E174" i="1"/>
  <c r="H173" i="1"/>
  <c r="G173" i="1"/>
  <c r="F173" i="1"/>
  <c r="H171" i="1"/>
  <c r="G171" i="1"/>
  <c r="F171" i="1"/>
  <c r="H170" i="1"/>
  <c r="H174" i="1" s="1"/>
  <c r="G170" i="1"/>
  <c r="G174" i="1" s="1"/>
  <c r="F170" i="1"/>
  <c r="F174" i="1" s="1"/>
  <c r="F166" i="1"/>
  <c r="H166" i="1"/>
  <c r="G166" i="1"/>
  <c r="H165" i="1"/>
  <c r="G165" i="1"/>
  <c r="F165" i="1"/>
  <c r="H164" i="1"/>
  <c r="G164" i="1"/>
  <c r="F164" i="1"/>
  <c r="H163" i="1"/>
  <c r="G163" i="1"/>
  <c r="F163" i="1"/>
  <c r="E167" i="1"/>
  <c r="H162" i="1"/>
  <c r="H167" i="1" s="1"/>
  <c r="G162" i="1"/>
  <c r="G167" i="1" s="1"/>
  <c r="F162" i="1"/>
  <c r="F167" i="1" s="1"/>
  <c r="H158" i="1"/>
  <c r="G158" i="1"/>
  <c r="F158" i="1"/>
  <c r="G157" i="1"/>
  <c r="F157" i="1"/>
  <c r="H157" i="1"/>
  <c r="H156" i="1"/>
  <c r="F156" i="1"/>
  <c r="G156" i="1"/>
  <c r="H155" i="1"/>
  <c r="G155" i="1"/>
  <c r="F155" i="1"/>
  <c r="E159" i="1"/>
  <c r="F153" i="1"/>
  <c r="H153" i="1"/>
  <c r="G153" i="1"/>
  <c r="H152" i="1"/>
  <c r="G152" i="1"/>
  <c r="F152" i="1"/>
  <c r="F151" i="1"/>
  <c r="H151" i="1"/>
  <c r="G151" i="1"/>
  <c r="H150" i="1"/>
  <c r="G150" i="1"/>
  <c r="F150" i="1"/>
  <c r="H149" i="1"/>
  <c r="G149" i="1"/>
  <c r="F149" i="1"/>
  <c r="H148" i="1"/>
  <c r="G148" i="1"/>
  <c r="F148" i="1"/>
  <c r="H147" i="1"/>
  <c r="F147" i="1"/>
  <c r="G147" i="1"/>
  <c r="H146" i="1"/>
  <c r="G146" i="1"/>
  <c r="F146" i="1"/>
  <c r="H145" i="1"/>
  <c r="G145" i="1"/>
  <c r="F145" i="1"/>
  <c r="H141" i="1"/>
  <c r="G141" i="1"/>
  <c r="F141" i="1"/>
  <c r="H140" i="1"/>
  <c r="G140" i="1"/>
  <c r="F140" i="1"/>
  <c r="H139" i="1"/>
  <c r="G139" i="1"/>
  <c r="F139" i="1"/>
  <c r="E142" i="1"/>
  <c r="H138" i="1"/>
  <c r="G138" i="1"/>
  <c r="F138" i="1"/>
  <c r="H136" i="1"/>
  <c r="G136" i="1"/>
  <c r="F136" i="1"/>
  <c r="H135" i="1"/>
  <c r="G135" i="1"/>
  <c r="F135" i="1"/>
  <c r="H134" i="1"/>
  <c r="G134" i="1"/>
  <c r="G142" i="1" s="1"/>
  <c r="F134" i="1"/>
  <c r="F142" i="1" s="1"/>
  <c r="H130" i="1"/>
  <c r="G130" i="1"/>
  <c r="F130" i="1"/>
  <c r="F129" i="1"/>
  <c r="H129" i="1"/>
  <c r="G129" i="1"/>
  <c r="H128" i="1"/>
  <c r="G128" i="1"/>
  <c r="F128" i="1"/>
  <c r="H127" i="1"/>
  <c r="G127" i="1"/>
  <c r="F127" i="1"/>
  <c r="H126" i="1"/>
  <c r="G126" i="1"/>
  <c r="F126" i="1"/>
  <c r="F125" i="1"/>
  <c r="H125" i="1"/>
  <c r="G125" i="1"/>
  <c r="F124" i="1"/>
  <c r="G124" i="1"/>
  <c r="H124" i="1"/>
  <c r="H123" i="1"/>
  <c r="G123" i="1"/>
  <c r="F123" i="1"/>
  <c r="H122" i="1"/>
  <c r="G122" i="1"/>
  <c r="F122" i="1"/>
  <c r="E131" i="1"/>
  <c r="H121" i="1"/>
  <c r="G121" i="1"/>
  <c r="F121" i="1"/>
  <c r="H117" i="1"/>
  <c r="G117" i="1"/>
  <c r="F117" i="1"/>
  <c r="H116" i="1"/>
  <c r="G116" i="1"/>
  <c r="F116" i="1"/>
  <c r="H115" i="1"/>
  <c r="G115" i="1"/>
  <c r="F115" i="1"/>
  <c r="H114" i="1"/>
  <c r="H118" i="1" s="1"/>
  <c r="G114" i="1"/>
  <c r="F114" i="1"/>
  <c r="F118" i="1" s="1"/>
  <c r="H110" i="1"/>
  <c r="F110" i="1"/>
  <c r="G110" i="1"/>
  <c r="H109" i="1"/>
  <c r="H111" i="1" s="1"/>
  <c r="G109" i="1"/>
  <c r="F109" i="1"/>
  <c r="E111" i="1"/>
  <c r="H105" i="1"/>
  <c r="G105" i="1"/>
  <c r="F105" i="1"/>
  <c r="H104" i="1"/>
  <c r="G104" i="1"/>
  <c r="F104" i="1"/>
  <c r="F103" i="1"/>
  <c r="H103" i="1"/>
  <c r="G103" i="1"/>
  <c r="F102" i="1"/>
  <c r="H102" i="1"/>
  <c r="G102" i="1"/>
  <c r="H101" i="1"/>
  <c r="G101" i="1"/>
  <c r="E106" i="1"/>
  <c r="F101" i="1"/>
  <c r="G100" i="1"/>
  <c r="H100" i="1"/>
  <c r="F100" i="1"/>
  <c r="H96" i="1"/>
  <c r="G96" i="1"/>
  <c r="F96" i="1"/>
  <c r="H95" i="1"/>
  <c r="G95" i="1"/>
  <c r="F95" i="1"/>
  <c r="E97" i="1"/>
  <c r="H94" i="1"/>
  <c r="H97" i="1" s="1"/>
  <c r="G94" i="1"/>
  <c r="G97" i="1" s="1"/>
  <c r="F94" i="1"/>
  <c r="F97" i="1" s="1"/>
  <c r="H90" i="1"/>
  <c r="G90" i="1"/>
  <c r="F90" i="1"/>
  <c r="G89" i="1"/>
  <c r="H89" i="1"/>
  <c r="G88" i="1"/>
  <c r="G91" i="1" s="1"/>
  <c r="F88" i="1"/>
  <c r="F91" i="1" s="1"/>
  <c r="E91" i="1"/>
  <c r="H88" i="1"/>
  <c r="H84" i="1"/>
  <c r="G84" i="1"/>
  <c r="F84" i="1"/>
  <c r="G83" i="1"/>
  <c r="H83" i="1"/>
  <c r="F83" i="1"/>
  <c r="E85" i="1"/>
  <c r="H82" i="1"/>
  <c r="G82" i="1"/>
  <c r="F82" i="1"/>
  <c r="H80" i="1"/>
  <c r="H85" i="1" s="1"/>
  <c r="G80" i="1"/>
  <c r="G85" i="1" s="1"/>
  <c r="F80" i="1"/>
  <c r="F85" i="1" s="1"/>
  <c r="H76" i="1"/>
  <c r="G76" i="1"/>
  <c r="F76" i="1"/>
  <c r="H75" i="1"/>
  <c r="G75" i="1"/>
  <c r="F75" i="1"/>
  <c r="H74" i="1"/>
  <c r="H77" i="1" s="1"/>
  <c r="G74" i="1"/>
  <c r="F74" i="1"/>
  <c r="E77" i="1"/>
  <c r="F70" i="1"/>
  <c r="H70" i="1"/>
  <c r="G70" i="1"/>
  <c r="H69" i="1"/>
  <c r="G69" i="1"/>
  <c r="F69" i="1"/>
  <c r="H68" i="1"/>
  <c r="G68" i="1"/>
  <c r="F68" i="1"/>
  <c r="H67" i="1"/>
  <c r="G67" i="1"/>
  <c r="F67" i="1"/>
  <c r="F66" i="1"/>
  <c r="E71" i="1"/>
  <c r="H66" i="1"/>
  <c r="G66" i="1"/>
  <c r="E63" i="1"/>
  <c r="H62" i="1"/>
  <c r="G62" i="1"/>
  <c r="F62" i="1"/>
  <c r="G61" i="1"/>
  <c r="F61" i="1"/>
  <c r="H61" i="1"/>
  <c r="F60" i="1"/>
  <c r="F63" i="1" s="1"/>
  <c r="H60" i="1"/>
  <c r="H63" i="1" s="1"/>
  <c r="G60" i="1"/>
  <c r="G63" i="1" s="1"/>
  <c r="H56" i="1"/>
  <c r="G56" i="1"/>
  <c r="F56" i="1"/>
  <c r="H55" i="1"/>
  <c r="H57" i="1" s="1"/>
  <c r="G55" i="1"/>
  <c r="G57" i="1" s="1"/>
  <c r="F55" i="1"/>
  <c r="F57" i="1" s="1"/>
  <c r="E57" i="1"/>
  <c r="H51" i="1"/>
  <c r="G51" i="1"/>
  <c r="F51" i="1"/>
  <c r="F50" i="1"/>
  <c r="H50" i="1"/>
  <c r="G50" i="1"/>
  <c r="F49" i="1"/>
  <c r="G49" i="1"/>
  <c r="H49" i="1"/>
  <c r="H48" i="1"/>
  <c r="G48" i="1"/>
  <c r="F48" i="1"/>
  <c r="H47" i="1"/>
  <c r="G47" i="1"/>
  <c r="F47" i="1"/>
  <c r="H46" i="1"/>
  <c r="G46" i="1"/>
  <c r="F46" i="1"/>
  <c r="H45" i="1"/>
  <c r="G45" i="1"/>
  <c r="F45" i="1"/>
  <c r="E52" i="1"/>
  <c r="H41" i="1"/>
  <c r="G41" i="1"/>
  <c r="F41" i="1"/>
  <c r="F40" i="1"/>
  <c r="G40" i="1"/>
  <c r="H40" i="1"/>
  <c r="F39" i="1"/>
  <c r="G39" i="1"/>
  <c r="H39" i="1"/>
  <c r="H38" i="1"/>
  <c r="G38" i="1"/>
  <c r="F38" i="1"/>
  <c r="H37" i="1"/>
  <c r="G37" i="1"/>
  <c r="F37" i="1"/>
  <c r="H36" i="1"/>
  <c r="G36" i="1"/>
  <c r="F36" i="1"/>
  <c r="H35" i="1"/>
  <c r="G35" i="1"/>
  <c r="F35" i="1"/>
  <c r="G34" i="1"/>
  <c r="H34" i="1"/>
  <c r="F34" i="1"/>
  <c r="H33" i="1"/>
  <c r="G33" i="1"/>
  <c r="F33" i="1"/>
  <c r="F31" i="1"/>
  <c r="H31" i="1"/>
  <c r="G31" i="1"/>
  <c r="E42" i="1"/>
  <c r="H30" i="1"/>
  <c r="F30" i="1"/>
  <c r="G30" i="1"/>
  <c r="H26" i="1"/>
  <c r="G26" i="1"/>
  <c r="F26" i="1"/>
  <c r="H25" i="1"/>
  <c r="G25" i="1"/>
  <c r="F25" i="1"/>
  <c r="E27" i="1"/>
  <c r="F24" i="1"/>
  <c r="G24" i="1"/>
  <c r="H23" i="1"/>
  <c r="F23" i="1"/>
  <c r="G23" i="1"/>
  <c r="H19" i="1"/>
  <c r="G19" i="1"/>
  <c r="F19" i="1"/>
  <c r="H18" i="1"/>
  <c r="G18" i="1"/>
  <c r="F18" i="1"/>
  <c r="G17" i="1"/>
  <c r="F17" i="1"/>
  <c r="H17" i="1"/>
  <c r="F16" i="1"/>
  <c r="G16" i="1"/>
  <c r="H16" i="1"/>
  <c r="E20" i="1"/>
  <c r="H15" i="1"/>
  <c r="G15" i="1"/>
  <c r="F15" i="1"/>
  <c r="H11" i="1"/>
  <c r="G11" i="1"/>
  <c r="F11" i="1"/>
  <c r="G10" i="1"/>
  <c r="F10" i="1"/>
  <c r="E12" i="1"/>
  <c r="G9" i="1"/>
  <c r="F9" i="1"/>
  <c r="H9" i="1"/>
  <c r="E6" i="1"/>
  <c r="H5" i="1"/>
  <c r="H6" i="1" s="1"/>
  <c r="F5" i="1"/>
  <c r="F6" i="1" s="1"/>
  <c r="G5" i="1"/>
  <c r="G6" i="1" s="1"/>
  <c r="F191" i="1" l="1"/>
  <c r="E68" i="2"/>
  <c r="G54" i="2"/>
  <c r="G68" i="2" s="1"/>
  <c r="C204" i="1"/>
  <c r="B204" i="1"/>
  <c r="B205" i="1"/>
  <c r="B206" i="1"/>
  <c r="H131" i="1"/>
  <c r="F131" i="1"/>
  <c r="G77" i="1"/>
  <c r="F77" i="1"/>
  <c r="F12" i="1"/>
  <c r="G12" i="1"/>
  <c r="H12" i="1"/>
  <c r="D205" i="1"/>
  <c r="D206" i="1" s="1"/>
  <c r="H142" i="1"/>
  <c r="G111" i="1"/>
  <c r="F111" i="1"/>
  <c r="G131" i="1"/>
  <c r="H91" i="1"/>
  <c r="G194" i="1"/>
  <c r="H194" i="1"/>
  <c r="H188" i="1"/>
  <c r="G188" i="1"/>
  <c r="F188" i="1"/>
  <c r="G118" i="1"/>
  <c r="H159" i="1"/>
  <c r="G159" i="1"/>
  <c r="F159" i="1"/>
  <c r="F71" i="1"/>
  <c r="H27" i="1"/>
  <c r="F27" i="1"/>
  <c r="G27" i="1"/>
  <c r="G106" i="1"/>
  <c r="H106" i="1"/>
  <c r="F106" i="1"/>
  <c r="H71" i="1"/>
  <c r="G71" i="1"/>
  <c r="H52" i="1"/>
  <c r="G52" i="1"/>
  <c r="F52" i="1"/>
  <c r="H42" i="1"/>
  <c r="F42" i="1"/>
  <c r="G42" i="1"/>
  <c r="H20" i="1"/>
  <c r="G20" i="1"/>
  <c r="F20" i="1"/>
  <c r="E203" i="1"/>
  <c r="F194" i="1" l="1"/>
  <c r="C205" i="1"/>
  <c r="G203" i="1"/>
  <c r="G204" i="1" s="1"/>
  <c r="E204" i="1"/>
  <c r="H203" i="1"/>
  <c r="F203" i="1" l="1"/>
  <c r="F204" i="1" s="1"/>
  <c r="C206" i="1"/>
  <c r="H204" i="1"/>
  <c r="H205" i="1" s="1"/>
  <c r="H206" i="1" s="1"/>
  <c r="G205" i="1"/>
  <c r="G206" i="1" s="1"/>
  <c r="F205" i="1"/>
  <c r="F206" i="1" s="1"/>
  <c r="E205" i="1"/>
  <c r="E206" i="1" s="1"/>
</calcChain>
</file>

<file path=xl/sharedStrings.xml><?xml version="1.0" encoding="utf-8"?>
<sst xmlns="http://schemas.openxmlformats.org/spreadsheetml/2006/main" count="452" uniqueCount="283">
  <si>
    <t xml:space="preserve">   LINE ITEM</t>
  </si>
  <si>
    <t>BUDGET</t>
  </si>
  <si>
    <t>PREV. INVOICED</t>
  </si>
  <si>
    <t>CURRENT INVOICE</t>
  </si>
  <si>
    <t>TOTAL INVOICED</t>
  </si>
  <si>
    <t>TO BE COMPLETED</t>
  </si>
  <si>
    <t>OVER BUDGET</t>
  </si>
  <si>
    <t>CHANGE ORDERS</t>
  </si>
  <si>
    <t xml:space="preserve">  DESIGN SERVICES</t>
  </si>
  <si>
    <t xml:space="preserve">   Plan Printing &amp; Photocopying</t>
  </si>
  <si>
    <t xml:space="preserve">   DESIGN SERVICES — Subtotal</t>
  </si>
  <si>
    <t xml:space="preserve">  PERMITS &amp; HOME WARRANTY</t>
  </si>
  <si>
    <t xml:space="preserve">   Building Permit Fees</t>
  </si>
  <si>
    <t xml:space="preserve">   Home Warranty Registration &amp; Fees</t>
  </si>
  <si>
    <t xml:space="preserve">   BC Housing Registration Fee</t>
  </si>
  <si>
    <t xml:space="preserve">   PERMITS &amp; HOME WARRANTY — Subtotal</t>
  </si>
  <si>
    <t xml:space="preserve">  ENGINEERING FEES</t>
  </si>
  <si>
    <t xml:space="preserve">   Energy Advisor</t>
  </si>
  <si>
    <t xml:space="preserve">   Land Survey</t>
  </si>
  <si>
    <t xml:space="preserve">   Geotechnical Engineer</t>
  </si>
  <si>
    <t xml:space="preserve">   Structural Engineering</t>
  </si>
  <si>
    <t>Change Order #2A Septic Drawing for BP</t>
  </si>
  <si>
    <t xml:space="preserve">   ENGINEERING FEES — Subtotal</t>
  </si>
  <si>
    <t xml:space="preserve">  SITE WORK</t>
  </si>
  <si>
    <t xml:space="preserve">   Excavation, Backfill, Perimeter &amp; Drain Labour</t>
  </si>
  <si>
    <t xml:space="preserve">   Concrete Coring and Cutting and Removal</t>
  </si>
  <si>
    <t xml:space="preserve">   Contingency</t>
  </si>
  <si>
    <t>Change Order #2B Septic Field Work</t>
  </si>
  <si>
    <t xml:space="preserve">   SITE WORK — Subtotal</t>
  </si>
  <si>
    <t xml:space="preserve">  FOUNDATION</t>
  </si>
  <si>
    <t xml:space="preserve">   Footings &amp; Foundation Material</t>
  </si>
  <si>
    <t xml:space="preserve">   Footings &amp; Foundation Labour</t>
  </si>
  <si>
    <t xml:space="preserve">   Footings &amp; Foundation Concrete</t>
  </si>
  <si>
    <t xml:space="preserve">   Slab Prep - Labour</t>
  </si>
  <si>
    <t xml:space="preserve">   Slab Prep - Material</t>
  </si>
  <si>
    <t xml:space="preserve">   Garage Concrete Slab</t>
  </si>
  <si>
    <t xml:space="preserve">   Concrete Slab - Skim Coat</t>
  </si>
  <si>
    <t xml:space="preserve">   Concrete Slab Finishing Labour</t>
  </si>
  <si>
    <t xml:space="preserve">   Concrete Pump Truck</t>
  </si>
  <si>
    <t xml:space="preserve">   Damproofing</t>
  </si>
  <si>
    <t xml:space="preserve">   FOUNDATION — Subtotal</t>
  </si>
  <si>
    <t xml:space="preserve">  FRAMING</t>
  </si>
  <si>
    <t xml:space="preserve">   Framing Materials</t>
  </si>
  <si>
    <t xml:space="preserve">   Framing Labour</t>
  </si>
  <si>
    <t xml:space="preserve">   Roof Trusses</t>
  </si>
  <si>
    <t xml:space="preserve">   Engineering Parts</t>
  </si>
  <si>
    <t xml:space="preserve">   Steel Beam in Garage</t>
  </si>
  <si>
    <t xml:space="preserve">   Engineered Beams</t>
  </si>
  <si>
    <t xml:space="preserve">   FRAMING — Subtotal</t>
  </si>
  <si>
    <t xml:space="preserve">  WINDOWS</t>
  </si>
  <si>
    <t xml:space="preserve">   Windows</t>
  </si>
  <si>
    <t xml:space="preserve">   WINDOWS — Subtotal</t>
  </si>
  <si>
    <t xml:space="preserve">  DOORS</t>
  </si>
  <si>
    <t xml:space="preserve">   Exterior Doors and Interior Doors with Hardware</t>
  </si>
  <si>
    <t xml:space="preserve">   Garage Doors</t>
  </si>
  <si>
    <t xml:space="preserve">   DOORS — Subtotal</t>
  </si>
  <si>
    <t xml:space="preserve">  ELECTRICAL</t>
  </si>
  <si>
    <t xml:space="preserve">   Electrical Rough In</t>
  </si>
  <si>
    <t xml:space="preserve">   Electrical Fixtures</t>
  </si>
  <si>
    <t xml:space="preserve">   Service Upgrade to 400amp</t>
  </si>
  <si>
    <t xml:space="preserve">   Change Order #1 Island Electric - Electrical Underground Cable Repair</t>
  </si>
  <si>
    <t xml:space="preserve">   ELECTRICAL — Subtotal</t>
  </si>
  <si>
    <t xml:space="preserve">  PLUMBING</t>
  </si>
  <si>
    <t xml:space="preserve">   Plumbing Rough In</t>
  </si>
  <si>
    <t xml:space="preserve">   Plumbing Fixtures</t>
  </si>
  <si>
    <t xml:space="preserve">   PLUMBING — Subtotal</t>
  </si>
  <si>
    <t xml:space="preserve">  HVAC</t>
  </si>
  <si>
    <t xml:space="preserve">   Mechanical Rough In</t>
  </si>
  <si>
    <t xml:space="preserve">   Fireplace Unit Wood Burning</t>
  </si>
  <si>
    <t xml:space="preserve">   BBQ Connection</t>
  </si>
  <si>
    <t xml:space="preserve">   Gas/Propane Connection</t>
  </si>
  <si>
    <t xml:space="preserve">   HVAC — Subtotal</t>
  </si>
  <si>
    <t xml:space="preserve">  ROOFING</t>
  </si>
  <si>
    <t xml:space="preserve">   Roofing Supply &amp; Install</t>
  </si>
  <si>
    <t xml:space="preserve">   Metal Roof Painting</t>
  </si>
  <si>
    <t xml:space="preserve">   ROOFING — Subtotal</t>
  </si>
  <si>
    <t xml:space="preserve">  INSULATION &amp; DRYWALL</t>
  </si>
  <si>
    <t xml:space="preserve">   Insulation</t>
  </si>
  <si>
    <t xml:space="preserve">   Drywall</t>
  </si>
  <si>
    <t xml:space="preserve">   INSULATION &amp; DRYWALL — Subtotal</t>
  </si>
  <si>
    <t xml:space="preserve">  EXTERIOR VENEER</t>
  </si>
  <si>
    <t xml:space="preserve">   Siding Labour</t>
  </si>
  <si>
    <t xml:space="preserve">   Siding Materials</t>
  </si>
  <si>
    <t xml:space="preserve">   Soffit Supply &amp; Install</t>
  </si>
  <si>
    <t xml:space="preserve">   Gutters Supply &amp; Install</t>
  </si>
  <si>
    <t xml:space="preserve">   Trim Labour</t>
  </si>
  <si>
    <t xml:space="preserve">   EXTERIOR VENEER — Subtotal</t>
  </si>
  <si>
    <t xml:space="preserve">  MASONRY</t>
  </si>
  <si>
    <t xml:space="preserve">   Interior Masonry - Supply &amp; Install</t>
  </si>
  <si>
    <t xml:space="preserve">   MASONRY — Subtotal</t>
  </si>
  <si>
    <t xml:space="preserve">  CABINETRY &amp; COUNTERTOPS</t>
  </si>
  <si>
    <t xml:space="preserve">   Cabinetry Supply and Install</t>
  </si>
  <si>
    <t xml:space="preserve">   Countertop Supply &amp; Install</t>
  </si>
  <si>
    <t xml:space="preserve">   Walk In Closet</t>
  </si>
  <si>
    <t xml:space="preserve">   CABINETRY &amp; COUNTERTOPS — Subtotal</t>
  </si>
  <si>
    <t xml:space="preserve">  INTERIOR FINISHING</t>
  </si>
  <si>
    <t xml:space="preserve">   Finishing Carpentry</t>
  </si>
  <si>
    <t xml:space="preserve">   Interior Trim Materials</t>
  </si>
  <si>
    <t xml:space="preserve">   Stair System Materials</t>
  </si>
  <si>
    <t xml:space="preserve">   Bathroom Hardware</t>
  </si>
  <si>
    <t xml:space="preserve">   Shower Glass Doors</t>
  </si>
  <si>
    <t xml:space="preserve">   Mirrors</t>
  </si>
  <si>
    <t xml:space="preserve">   Mantle</t>
  </si>
  <si>
    <t xml:space="preserve">   Interior Cedar Beam Wraps/False Beams</t>
  </si>
  <si>
    <t xml:space="preserve">   Shiplap for Electric Fireplace</t>
  </si>
  <si>
    <t xml:space="preserve">   INTERIOR FINISHING — Subtotal</t>
  </si>
  <si>
    <t xml:space="preserve">  WOOD FLOOR COVERINGS</t>
  </si>
  <si>
    <t xml:space="preserve">   Flooring Material - Addition</t>
  </si>
  <si>
    <t xml:space="preserve">   Flooring Install Labour - Addition</t>
  </si>
  <si>
    <t xml:space="preserve">   Floor Sanding &amp; Prep</t>
  </si>
  <si>
    <t xml:space="preserve">   Protective Floor Covering</t>
  </si>
  <si>
    <t xml:space="preserve">   Old Flooring Removal - Existing House</t>
  </si>
  <si>
    <t xml:space="preserve">   Flooring Material - Existing House</t>
  </si>
  <si>
    <t xml:space="preserve">   Flooring Installation - Existing House</t>
  </si>
  <si>
    <t xml:space="preserve">   WOOD FLOOR COVERINGS — Subtotal</t>
  </si>
  <si>
    <t xml:space="preserve">  TILE</t>
  </si>
  <si>
    <t xml:space="preserve">   Floor Tile Material - Addition</t>
  </si>
  <si>
    <t xml:space="preserve">   Floor Tile Install Labour - Addition</t>
  </si>
  <si>
    <t xml:space="preserve">   Floor Tile Prep</t>
  </si>
  <si>
    <t xml:space="preserve">   Wall Tile Material (Ensuite &amp; Main Bath Shower)</t>
  </si>
  <si>
    <t xml:space="preserve">   Wall Tile Labour (Ensuite &amp; Main Bath Shower)</t>
  </si>
  <si>
    <t xml:space="preserve">   Backsplash Tile Material</t>
  </si>
  <si>
    <t xml:space="preserve">   Backsplash Tile Labour</t>
  </si>
  <si>
    <t xml:space="preserve">   Heated Floor Prep</t>
  </si>
  <si>
    <t xml:space="preserve">   Thermostats</t>
  </si>
  <si>
    <t xml:space="preserve">   Ensuite Shower Linear Drain</t>
  </si>
  <si>
    <t xml:space="preserve">   Floor Tile Material - Existing House</t>
  </si>
  <si>
    <t xml:space="preserve">   Floor Tile Installation - Existing House</t>
  </si>
  <si>
    <t xml:space="preserve">   Floor Tile Removal - Existing House</t>
  </si>
  <si>
    <t xml:space="preserve">   TILE — Subtotal</t>
  </si>
  <si>
    <t xml:space="preserve">  PAINT</t>
  </si>
  <si>
    <t xml:space="preserve">   Interior Paint</t>
  </si>
  <si>
    <t xml:space="preserve">   Exterior Paint</t>
  </si>
  <si>
    <t xml:space="preserve">   Door Painting &amp; Staining</t>
  </si>
  <si>
    <t xml:space="preserve">   Interior Staining T&amp;G and Beams</t>
  </si>
  <si>
    <t xml:space="preserve">   PAINT — Subtotal</t>
  </si>
  <si>
    <t xml:space="preserve">  EXTERIOR HARDSCAPE</t>
  </si>
  <si>
    <t xml:space="preserve">   Patio Driveway Stone Removal</t>
  </si>
  <si>
    <t xml:space="preserve">   New Concrete Driveway to New Garage Bays Material</t>
  </si>
  <si>
    <t xml:space="preserve">   New Concrete Driveway Finishing</t>
  </si>
  <si>
    <t xml:space="preserve">   Forming Driveway Labour</t>
  </si>
  <si>
    <t xml:space="preserve">   EXTERIOR HARDSCAPE — Subtotal</t>
  </si>
  <si>
    <t xml:space="preserve">  CONSTRUCTION CLEAN UP</t>
  </si>
  <si>
    <t xml:space="preserve">   Clean Up Labour</t>
  </si>
  <si>
    <t xml:space="preserve">   Disposal &amp; Dump Fees</t>
  </si>
  <si>
    <t xml:space="preserve">   Dumpster Rental</t>
  </si>
  <si>
    <t xml:space="preserve">   Final Site Clean</t>
  </si>
  <si>
    <t xml:space="preserve">   CONSTRUCTION CLEAN UP — Subtotal</t>
  </si>
  <si>
    <t xml:space="preserve">  JOBSITE FACILITIES</t>
  </si>
  <si>
    <t xml:space="preserve">   Portable Washroom</t>
  </si>
  <si>
    <t xml:space="preserve">   Site Signage</t>
  </si>
  <si>
    <t xml:space="preserve">   Tool &amp; Rental Equipment</t>
  </si>
  <si>
    <t xml:space="preserve">   Scaffolding</t>
  </si>
  <si>
    <t xml:space="preserve">   JOBSITE FACILITIES — Subtotal</t>
  </si>
  <si>
    <t xml:space="preserve">  PROJECT MANAGEMENT</t>
  </si>
  <si>
    <t xml:space="preserve">   Management &amp; Supervision</t>
  </si>
  <si>
    <t>Credit - Management Billing as per Pricing Contract</t>
  </si>
  <si>
    <t xml:space="preserve">   Accounting &amp; Admin</t>
  </si>
  <si>
    <t xml:space="preserve">   PROJECT MANAGEMENT — Subtotal</t>
  </si>
  <si>
    <t xml:space="preserve">  MISCELLANEOUS</t>
  </si>
  <si>
    <t xml:space="preserve">   Travel</t>
  </si>
  <si>
    <t xml:space="preserve">   Deficiencies</t>
  </si>
  <si>
    <t xml:space="preserve">   Demolition</t>
  </si>
  <si>
    <t xml:space="preserve">   Demolition Dembri removal labour</t>
  </si>
  <si>
    <t xml:space="preserve">   MISCELLANEOUS — Subtotal</t>
  </si>
  <si>
    <t>Project Subtotal</t>
  </si>
  <si>
    <t>15% Mark-up</t>
  </si>
  <si>
    <t>GST (5%)</t>
  </si>
  <si>
    <t>PROJECT TOTAL</t>
  </si>
  <si>
    <t xml:space="preserve">  COLOUR LEGEND</t>
  </si>
  <si>
    <t>Date</t>
  </si>
  <si>
    <t>Name</t>
  </si>
  <si>
    <t>Billing Status</t>
  </si>
  <si>
    <t>Duration</t>
  </si>
  <si>
    <t>Rate</t>
  </si>
  <si>
    <t>Amount</t>
  </si>
  <si>
    <t>Project Managment</t>
  </si>
  <si>
    <t>Russell McMann</t>
  </si>
  <si>
    <t>Unbilled</t>
  </si>
  <si>
    <t>James McMann</t>
  </si>
  <si>
    <t>Abdullah Ibn Alamir</t>
  </si>
  <si>
    <t>Kevin Mammen</t>
  </si>
  <si>
    <t>Total Project Managment</t>
  </si>
  <si>
    <t>Travel Time</t>
  </si>
  <si>
    <t>Total Timesheet</t>
  </si>
  <si>
    <t>Type</t>
  </si>
  <si>
    <t>Num</t>
  </si>
  <si>
    <t>Memo</t>
  </si>
  <si>
    <t>Ecolibrium Energy Solutions Inc.</t>
  </si>
  <si>
    <t>Bill</t>
  </si>
  <si>
    <t>2344</t>
  </si>
  <si>
    <t>Ecolibrium Energy Solutions Inc. Energy Advisor Report 2344</t>
  </si>
  <si>
    <t>Total Ecolibrium Energy Solutions Inc.</t>
  </si>
  <si>
    <t>Island Electric Company</t>
  </si>
  <si>
    <t>Island Electric Company Change Order Underground Cable Replacement 1189-1</t>
  </si>
  <si>
    <t>Total Island Electric Company</t>
  </si>
  <si>
    <t>JE Anderson &amp; Associates</t>
  </si>
  <si>
    <t>0066328</t>
  </si>
  <si>
    <t>JE Anderson &amp; Associates Survey 0066328</t>
  </si>
  <si>
    <t>0067130</t>
  </si>
  <si>
    <t>JE Anderson &amp; Associates Survey 0067130</t>
  </si>
  <si>
    <t>Total JE Anderson &amp; Associates</t>
  </si>
  <si>
    <t>Kivela Contracting Ltd.</t>
  </si>
  <si>
    <t>2658</t>
  </si>
  <si>
    <t>Kivela Contracting Ltd. Septic Design and Permit 2658</t>
  </si>
  <si>
    <t>2694</t>
  </si>
  <si>
    <t>Kivela Contracting Ltd. Site Work 2694</t>
  </si>
  <si>
    <t>Kivela Contracting Ltd. Change Order Septic Field Work 2694</t>
  </si>
  <si>
    <t>Total Kivela Contracting Ltd.</t>
  </si>
  <si>
    <t>Lewkowich Engineering Associates Ltd</t>
  </si>
  <si>
    <t>102800</t>
  </si>
  <si>
    <t>Lewkowich Engineering Associates Ltd Geotechnical Assessment Report 102800</t>
  </si>
  <si>
    <t>103557</t>
  </si>
  <si>
    <t>Lewkowich Engineering Associates Ltd Geotechnical Assessment Report 103557</t>
  </si>
  <si>
    <t>104422</t>
  </si>
  <si>
    <t>Lewkowich Engineering Associates Ltd Geotechnical Engineering 104422</t>
  </si>
  <si>
    <t>Total Lewkowich Engineering Associates Ltd</t>
  </si>
  <si>
    <t>Print Three Nanaimo</t>
  </si>
  <si>
    <t>5-36986</t>
  </si>
  <si>
    <t>Print Three Nanaimo Revised Plan Printing 5-36986</t>
  </si>
  <si>
    <t>Total Print Three Nanaimo</t>
  </si>
  <si>
    <t>Regional District of Nanaimo</t>
  </si>
  <si>
    <t>2182719713</t>
  </si>
  <si>
    <t>Regional District of Nanaimo Building Permit Fees 2182719713</t>
  </si>
  <si>
    <t>PR20250000587</t>
  </si>
  <si>
    <t>Regional District of Nanaimo Building Permit PR20250000587</t>
  </si>
  <si>
    <t>Total Regional District of Nanaimo</t>
  </si>
  <si>
    <t>Change Order #1 JXN Solutions: Footings and Foundation Labour</t>
  </si>
  <si>
    <t>1047335 B.C. LTD (dba Complete Damp Proof</t>
  </si>
  <si>
    <t>11561</t>
  </si>
  <si>
    <t>1047335 B.C. LTD (dba Complete Damp Proof Damp proofing  11561</t>
  </si>
  <si>
    <t>Total 1047335 B.C. LTD (dba Complete Damp Proof</t>
  </si>
  <si>
    <t>DBL Disposal Services Ltd</t>
  </si>
  <si>
    <t>305329</t>
  </si>
  <si>
    <t>305327</t>
  </si>
  <si>
    <t>Total DBL Disposal Services Ltd</t>
  </si>
  <si>
    <t>Heidelberg Materials Canada Limited</t>
  </si>
  <si>
    <t>3190336</t>
  </si>
  <si>
    <t>Heidelberg Materials Canada Limited Concrete Footings 3190336</t>
  </si>
  <si>
    <t>3191123</t>
  </si>
  <si>
    <t>Heidelberg Materials Canada Limited Concrete Walls 3191123</t>
  </si>
  <si>
    <t>Total Heidelberg Materials Canada Limited</t>
  </si>
  <si>
    <t>Island Concrete Pumping Ltd</t>
  </si>
  <si>
    <t>28435</t>
  </si>
  <si>
    <t>Island Concrete Pumping Ltd Concrete Pump Truck 28435</t>
  </si>
  <si>
    <t>28478</t>
  </si>
  <si>
    <t>Island Concrete Pumping Ltd Concrete Pump Truck 28478</t>
  </si>
  <si>
    <t>Total Island Concrete Pumping Ltd</t>
  </si>
  <si>
    <t>0067962</t>
  </si>
  <si>
    <t>JE Anderson &amp; Associates Survey 0067962</t>
  </si>
  <si>
    <t>JXN SOLUTIONS LTD</t>
  </si>
  <si>
    <t>invoice 39</t>
  </si>
  <si>
    <t>JXN SOLUTIONS LTD Footings and Foundation Labour invoice 39</t>
  </si>
  <si>
    <t>JXN SOLUTIONS LTD Change Order Footings and Foundation Labour invoice 39</t>
  </si>
  <si>
    <t>Total JXN SOLUTIONS LTD</t>
  </si>
  <si>
    <t>104886</t>
  </si>
  <si>
    <t>Lewkowich Engineering Associates Ltd Geotechnical Engineering 104886</t>
  </si>
  <si>
    <t>5-37167</t>
  </si>
  <si>
    <t>Print Three Nanaimo Plan Printing 5-37167</t>
  </si>
  <si>
    <t>Credit Card Charge</t>
  </si>
  <si>
    <t xml:space="preserve"> 2405438517</t>
  </si>
  <si>
    <t>Regional District of Nanaimo BP Revision  2405438517</t>
  </si>
  <si>
    <t>Rona 221227- Mcmann Group</t>
  </si>
  <si>
    <t>103-25261351</t>
  </si>
  <si>
    <t>Rona Footings and Foundation Material 103-25261351</t>
  </si>
  <si>
    <t>103-25259301</t>
  </si>
  <si>
    <t>Rona Engineering Material 103-25259301</t>
  </si>
  <si>
    <t>Total Rona 221227- Mcmann Group</t>
  </si>
  <si>
    <t>Slegg Building Materials</t>
  </si>
  <si>
    <t>IN5565137</t>
  </si>
  <si>
    <t>Slegg Building Material Footings and Foundation Material IN5565137</t>
  </si>
  <si>
    <t>IN5567055</t>
  </si>
  <si>
    <t>Slegg Building Material Footings and Foundation Material IN5567055</t>
  </si>
  <si>
    <t>IN5570960</t>
  </si>
  <si>
    <t>Slegg Building Material Footings and Foundation Material IN5570960</t>
  </si>
  <si>
    <t>IN5571123</t>
  </si>
  <si>
    <t>Slegg Building Material Footings and Foundation Material IN5571123</t>
  </si>
  <si>
    <t>Total Slegg Building Materials</t>
  </si>
  <si>
    <t>DBL  Portable Washroom-  305329</t>
  </si>
  <si>
    <t xml:space="preserve">DBL Disposal Services Ltd Portable Washroom- 305327  </t>
  </si>
  <si>
    <t>EWO-1189-1A</t>
  </si>
  <si>
    <t>Total Vendor Detail</t>
  </si>
  <si>
    <t>Total Travel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</si>
</sst>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\-* \-??_);_(@_)"/>
    <numFmt numFmtId="165" formatCode="mm/dd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9"/>
      <color rgb="FF0D0D0D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D0D0D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D0D0D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8"/>
      <color rgb="FF323232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10"/>
      <color rgb="FF0D0D0D"/>
      <name val="Arial"/>
      <family val="2"/>
    </font>
    <font>
      <sz val="9"/>
      <color rgb="FF0D0D0D"/>
      <name val="Arial"/>
      <family val="2"/>
    </font>
    <font>
      <b/>
      <sz val="10"/>
      <color rgb="FFFFFFFF"/>
      <name val="Arial"/>
      <family val="2"/>
    </font>
    <font>
      <b/>
      <sz val="10"/>
      <color rgb="FF0D0D0D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C0C0C0"/>
        <bgColor rgb="FFC0C0C0"/>
      </patternFill>
    </fill>
    <fill>
      <patternFill patternType="solid">
        <fgColor rgb="FFF7F7F7"/>
        <bgColor rgb="FFF7F7F7"/>
      </patternFill>
    </fill>
    <fill>
      <patternFill patternType="solid">
        <fgColor rgb="FFE8E8E8"/>
        <bgColor rgb="FFE8E8E8"/>
      </patternFill>
    </fill>
    <fill>
      <patternFill patternType="solid">
        <fgColor rgb="FF2B2B2B"/>
        <bgColor rgb="FF2B2B2B"/>
      </patternFill>
    </fill>
    <fill>
      <patternFill patternType="solid">
        <fgColor rgb="FFFFFFFF"/>
        <bgColor rgb="FFFFFFFF"/>
      </patternFill>
    </fill>
    <fill>
      <patternFill patternType="solid">
        <fgColor rgb="FFFDF0C2"/>
        <bgColor rgb="FFFDF0C2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C0C0C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2B2B2B"/>
      </top>
      <bottom style="thin">
        <color rgb="FF2B2B2B"/>
      </bottom>
      <diagonal/>
    </border>
    <border>
      <left style="thin">
        <color rgb="FFD0D0D0"/>
      </left>
      <right style="thin">
        <color rgb="FFD0D0D0"/>
      </right>
      <top style="thin">
        <color rgb="FF2B2B2B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00000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medium">
        <color rgb="FF00000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2B2B2B"/>
      </bottom>
      <diagonal/>
    </border>
    <border>
      <left style="thin">
        <color rgb="FFD0D0D0"/>
      </left>
      <right style="thin">
        <color rgb="FFD0D0D0"/>
      </right>
      <top style="thin">
        <color rgb="FF2B2B2B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 style="thin">
        <color rgb="FF2B2B2B"/>
      </top>
      <bottom style="medium">
        <color rgb="FF2B2B2B"/>
      </bottom>
      <diagonal/>
    </border>
  </borders>
  <cellStyleXfs count="3">
    <xf numFmtId="0" fontId="0" fillId="0" borderId="0"/>
    <xf numFmtId="0" fontId="1" fillId="0" borderId="4"/>
    <xf numFmtId="0" fontId="12" fillId="0" borderId="4"/>
  </cellStyleXfs>
  <cellXfs count="97">
    <xf numFmtId="0" fontId="0" fillId="0" borderId="0" xfId="0"/>
    <xf numFmtId="0" fontId="3" fillId="2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164" fontId="8" fillId="6" borderId="1" xfId="0" applyNumberFormat="1" applyFont="1" applyFill="1" applyBorder="1" applyAlignment="1">
      <alignment horizontal="right" vertical="center"/>
    </xf>
    <xf numFmtId="164" fontId="3" fillId="0" borderId="0" xfId="0" applyNumberFormat="1" applyFont="1"/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4" fontId="3" fillId="0" borderId="0" xfId="0" applyNumberFormat="1" applyFont="1"/>
    <xf numFmtId="0" fontId="8" fillId="9" borderId="1" xfId="0" applyFont="1" applyFill="1" applyBorder="1" applyAlignment="1">
      <alignment horizontal="left" vertical="center"/>
    </xf>
    <xf numFmtId="164" fontId="8" fillId="9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/>
    </xf>
    <xf numFmtId="164" fontId="10" fillId="10" borderId="1" xfId="0" applyNumberFormat="1" applyFont="1" applyFill="1" applyBorder="1" applyAlignment="1">
      <alignment horizontal="right" vertical="center"/>
    </xf>
    <xf numFmtId="0" fontId="9" fillId="11" borderId="1" xfId="0" applyFont="1" applyFill="1" applyBorder="1" applyAlignment="1">
      <alignment horizontal="left" vertical="center"/>
    </xf>
    <xf numFmtId="164" fontId="10" fillId="11" borderId="1" xfId="0" applyNumberFormat="1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49" fontId="8" fillId="5" borderId="7" xfId="0" applyNumberFormat="1" applyFont="1" applyFill="1" applyBorder="1"/>
    <xf numFmtId="165" fontId="8" fillId="5" borderId="7" xfId="0" applyNumberFormat="1" applyFont="1" applyFill="1" applyBorder="1" applyAlignment="1">
      <alignment horizontal="center"/>
    </xf>
    <xf numFmtId="49" fontId="8" fillId="5" borderId="7" xfId="0" applyNumberFormat="1" applyFont="1" applyFill="1" applyBorder="1" applyAlignment="1">
      <alignment horizontal="center"/>
    </xf>
    <xf numFmtId="39" fontId="8" fillId="5" borderId="7" xfId="0" applyNumberFormat="1" applyFont="1" applyFill="1" applyBorder="1" applyAlignment="1">
      <alignment horizontal="center"/>
    </xf>
    <xf numFmtId="164" fontId="8" fillId="5" borderId="7" xfId="0" applyNumberFormat="1" applyFont="1" applyFill="1" applyBorder="1"/>
    <xf numFmtId="49" fontId="5" fillId="8" borderId="7" xfId="0" applyNumberFormat="1" applyFont="1" applyFill="1" applyBorder="1"/>
    <xf numFmtId="165" fontId="5" fillId="8" borderId="7" xfId="0" applyNumberFormat="1" applyFont="1" applyFill="1" applyBorder="1" applyAlignment="1">
      <alignment horizontal="center"/>
    </xf>
    <xf numFmtId="49" fontId="5" fillId="8" borderId="7" xfId="0" applyNumberFormat="1" applyFont="1" applyFill="1" applyBorder="1" applyAlignment="1">
      <alignment horizontal="center"/>
    </xf>
    <xf numFmtId="39" fontId="5" fillId="8" borderId="7" xfId="0" applyNumberFormat="1" applyFont="1" applyFill="1" applyBorder="1" applyAlignment="1">
      <alignment horizontal="center"/>
    </xf>
    <xf numFmtId="164" fontId="5" fillId="8" borderId="7" xfId="0" applyNumberFormat="1" applyFont="1" applyFill="1" applyBorder="1"/>
    <xf numFmtId="49" fontId="11" fillId="0" borderId="0" xfId="0" applyNumberFormat="1" applyFont="1"/>
    <xf numFmtId="164" fontId="11" fillId="0" borderId="0" xfId="0" applyNumberFormat="1" applyFont="1"/>
    <xf numFmtId="49" fontId="5" fillId="5" borderId="7" xfId="0" applyNumberFormat="1" applyFont="1" applyFill="1" applyBorder="1"/>
    <xf numFmtId="165" fontId="5" fillId="5" borderId="7" xfId="0" applyNumberFormat="1" applyFont="1" applyFill="1" applyBorder="1" applyAlignment="1">
      <alignment horizontal="center"/>
    </xf>
    <xf numFmtId="49" fontId="5" fillId="5" borderId="7" xfId="0" applyNumberFormat="1" applyFont="1" applyFill="1" applyBorder="1" applyAlignment="1">
      <alignment horizontal="center"/>
    </xf>
    <xf numFmtId="39" fontId="5" fillId="5" borderId="7" xfId="0" applyNumberFormat="1" applyFont="1" applyFill="1" applyBorder="1" applyAlignment="1">
      <alignment horizontal="center"/>
    </xf>
    <xf numFmtId="164" fontId="5" fillId="5" borderId="7" xfId="0" applyNumberFormat="1" applyFont="1" applyFill="1" applyBorder="1"/>
    <xf numFmtId="39" fontId="5" fillId="5" borderId="8" xfId="0" applyNumberFormat="1" applyFont="1" applyFill="1" applyBorder="1" applyAlignment="1">
      <alignment horizontal="center"/>
    </xf>
    <xf numFmtId="164" fontId="5" fillId="5" borderId="8" xfId="0" applyNumberFormat="1" applyFont="1" applyFill="1" applyBorder="1"/>
    <xf numFmtId="165" fontId="8" fillId="5" borderId="7" xfId="0" applyNumberFormat="1" applyFont="1" applyFill="1" applyBorder="1"/>
    <xf numFmtId="49" fontId="8" fillId="5" borderId="9" xfId="0" applyNumberFormat="1" applyFont="1" applyFill="1" applyBorder="1"/>
    <xf numFmtId="39" fontId="8" fillId="5" borderId="10" xfId="0" applyNumberFormat="1" applyFont="1" applyFill="1" applyBorder="1" applyAlignment="1">
      <alignment horizontal="center"/>
    </xf>
    <xf numFmtId="164" fontId="8" fillId="5" borderId="11" xfId="0" applyNumberFormat="1" applyFont="1" applyFill="1" applyBorder="1"/>
    <xf numFmtId="164" fontId="8" fillId="5" borderId="10" xfId="0" applyNumberFormat="1" applyFont="1" applyFill="1" applyBorder="1"/>
    <xf numFmtId="39" fontId="8" fillId="5" borderId="12" xfId="0" applyNumberFormat="1" applyFont="1" applyFill="1" applyBorder="1"/>
    <xf numFmtId="164" fontId="8" fillId="5" borderId="12" xfId="0" applyNumberFormat="1" applyFont="1" applyFill="1" applyBorder="1"/>
    <xf numFmtId="0" fontId="8" fillId="5" borderId="8" xfId="0" applyFont="1" applyFill="1" applyBorder="1"/>
    <xf numFmtId="0" fontId="8" fillId="5" borderId="13" xfId="0" applyFont="1" applyFill="1" applyBorder="1"/>
    <xf numFmtId="39" fontId="8" fillId="5" borderId="14" xfId="0" applyNumberFormat="1" applyFont="1" applyFill="1" applyBorder="1" applyAlignment="1">
      <alignment horizontal="center"/>
    </xf>
    <xf numFmtId="164" fontId="8" fillId="5" borderId="15" xfId="0" applyNumberFormat="1" applyFont="1" applyFill="1" applyBorder="1"/>
    <xf numFmtId="49" fontId="7" fillId="3" borderId="16" xfId="0" applyNumberFormat="1" applyFont="1" applyFill="1" applyBorder="1"/>
    <xf numFmtId="0" fontId="7" fillId="3" borderId="16" xfId="0" applyFont="1" applyFill="1" applyBorder="1"/>
    <xf numFmtId="39" fontId="7" fillId="3" borderId="16" xfId="0" applyNumberFormat="1" applyFont="1" applyFill="1" applyBorder="1" applyAlignment="1">
      <alignment horizontal="center"/>
    </xf>
    <xf numFmtId="164" fontId="7" fillId="3" borderId="16" xfId="0" applyNumberFormat="1" applyFont="1" applyFill="1" applyBorder="1"/>
    <xf numFmtId="39" fontId="5" fillId="5" borderId="18" xfId="0" applyNumberFormat="1" applyFont="1" applyFill="1" applyBorder="1" applyAlignment="1">
      <alignment horizontal="center"/>
    </xf>
    <xf numFmtId="49" fontId="5" fillId="5" borderId="8" xfId="0" applyNumberFormat="1" applyFont="1" applyFill="1" applyBorder="1"/>
    <xf numFmtId="165" fontId="5" fillId="5" borderId="8" xfId="0" applyNumberFormat="1" applyFont="1" applyFill="1" applyBorder="1" applyAlignment="1">
      <alignment horizontal="center"/>
    </xf>
    <xf numFmtId="49" fontId="5" fillId="5" borderId="8" xfId="0" applyNumberFormat="1" applyFont="1" applyFill="1" applyBorder="1" applyAlignment="1">
      <alignment horizontal="center"/>
    </xf>
    <xf numFmtId="49" fontId="5" fillId="5" borderId="13" xfId="0" applyNumberFormat="1" applyFont="1" applyFill="1" applyBorder="1" applyAlignment="1">
      <alignment horizontal="center"/>
    </xf>
    <xf numFmtId="0" fontId="13" fillId="14" borderId="17" xfId="0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vertical="center"/>
    </xf>
    <xf numFmtId="0" fontId="14" fillId="12" borderId="7" xfId="0" applyFont="1" applyFill="1" applyBorder="1" applyAlignment="1">
      <alignment horizontal="left" vertical="center"/>
    </xf>
    <xf numFmtId="0" fontId="14" fillId="12" borderId="7" xfId="0" applyFont="1" applyFill="1" applyBorder="1" applyAlignment="1">
      <alignment horizontal="center" vertical="center"/>
    </xf>
    <xf numFmtId="165" fontId="14" fillId="12" borderId="7" xfId="0" applyNumberFormat="1" applyFont="1" applyFill="1" applyBorder="1" applyAlignment="1">
      <alignment horizontal="center" vertical="center"/>
    </xf>
    <xf numFmtId="164" fontId="14" fillId="12" borderId="7" xfId="0" applyNumberFormat="1" applyFont="1" applyFill="1" applyBorder="1" applyAlignment="1">
      <alignment vertical="center"/>
    </xf>
    <xf numFmtId="0" fontId="14" fillId="13" borderId="7" xfId="0" applyFont="1" applyFill="1" applyBorder="1" applyAlignment="1">
      <alignment horizontal="left" vertical="center"/>
    </xf>
    <xf numFmtId="0" fontId="14" fillId="13" borderId="7" xfId="0" applyFont="1" applyFill="1" applyBorder="1" applyAlignment="1">
      <alignment horizontal="center" vertical="center"/>
    </xf>
    <xf numFmtId="165" fontId="14" fillId="13" borderId="7" xfId="0" applyNumberFormat="1" applyFont="1" applyFill="1" applyBorder="1" applyAlignment="1">
      <alignment horizontal="center" vertical="center"/>
    </xf>
    <xf numFmtId="164" fontId="14" fillId="13" borderId="7" xfId="0" applyNumberFormat="1" applyFont="1" applyFill="1" applyBorder="1" applyAlignment="1">
      <alignment vertical="center"/>
    </xf>
    <xf numFmtId="0" fontId="17" fillId="13" borderId="12" xfId="0" applyFont="1" applyFill="1" applyBorder="1" applyAlignment="1">
      <alignment horizontal="left" vertical="center"/>
    </xf>
    <xf numFmtId="0" fontId="17" fillId="13" borderId="12" xfId="0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4" fontId="17" fillId="13" borderId="12" xfId="0" applyNumberFormat="1" applyFont="1" applyFill="1" applyBorder="1" applyAlignment="1">
      <alignment vertical="center"/>
    </xf>
    <xf numFmtId="0" fontId="17" fillId="13" borderId="7" xfId="0" applyFont="1" applyFill="1" applyBorder="1" applyAlignment="1">
      <alignment horizontal="left" vertical="center"/>
    </xf>
    <xf numFmtId="0" fontId="17" fillId="13" borderId="7" xfId="0" applyFont="1" applyFill="1" applyBorder="1" applyAlignment="1">
      <alignment horizontal="center" vertical="center"/>
    </xf>
    <xf numFmtId="165" fontId="17" fillId="13" borderId="7" xfId="0" applyNumberFormat="1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left" vertical="center"/>
    </xf>
    <xf numFmtId="164" fontId="14" fillId="12" borderId="8" xfId="0" applyNumberFormat="1" applyFont="1" applyFill="1" applyBorder="1" applyAlignment="1">
      <alignment vertical="center"/>
    </xf>
    <xf numFmtId="164" fontId="17" fillId="13" borderId="10" xfId="0" applyNumberFormat="1" applyFont="1" applyFill="1" applyBorder="1" applyAlignment="1">
      <alignment vertical="center"/>
    </xf>
    <xf numFmtId="164" fontId="14" fillId="13" borderId="8" xfId="0" applyNumberFormat="1" applyFont="1" applyFill="1" applyBorder="1" applyAlignment="1">
      <alignment vertical="center"/>
    </xf>
    <xf numFmtId="0" fontId="17" fillId="13" borderId="8" xfId="0" applyFont="1" applyFill="1" applyBorder="1" applyAlignment="1">
      <alignment horizontal="left" vertical="center"/>
    </xf>
    <xf numFmtId="0" fontId="17" fillId="13" borderId="8" xfId="0" applyFont="1" applyFill="1" applyBorder="1" applyAlignment="1">
      <alignment horizontal="center" vertical="center"/>
    </xf>
    <xf numFmtId="165" fontId="17" fillId="13" borderId="8" xfId="0" applyNumberFormat="1" applyFont="1" applyFill="1" applyBorder="1" applyAlignment="1">
      <alignment horizontal="center" vertical="center"/>
    </xf>
    <xf numFmtId="0" fontId="17" fillId="13" borderId="13" xfId="0" applyFont="1" applyFill="1" applyBorder="1" applyAlignment="1">
      <alignment horizontal="left" vertical="center"/>
    </xf>
    <xf numFmtId="164" fontId="17" fillId="13" borderId="14" xfId="0" applyNumberFormat="1" applyFont="1" applyFill="1" applyBorder="1" applyAlignment="1">
      <alignment vertical="center"/>
    </xf>
    <xf numFmtId="0" fontId="16" fillId="14" borderId="19" xfId="0" applyFont="1" applyFill="1" applyBorder="1" applyAlignment="1">
      <alignment horizontal="left" vertical="center"/>
    </xf>
    <xf numFmtId="0" fontId="16" fillId="14" borderId="19" xfId="0" applyFont="1" applyFill="1" applyBorder="1" applyAlignment="1">
      <alignment vertical="center"/>
    </xf>
    <xf numFmtId="164" fontId="16" fillId="14" borderId="19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7" fillId="7" borderId="2" xfId="0" applyFont="1" applyFill="1" applyBorder="1" applyAlignment="1">
      <alignment horizontal="left" vertical="center"/>
    </xf>
  </cellXfs>
  <cellStyles count="3">
    <cellStyle name="Normal" xfId="0" builtinId="0"/>
    <cellStyle name="Normal 2" xfId="2" xr:uid="{E040C674-8139-499F-88CE-A03ACE0898C6}"/>
    <cellStyle name="Normal 3" xfId="1" xr:uid="{51C1B919-1D95-437F-BB70-11C8664C054D}"/>
  </cellStyles>
  <dxfs count="3">
    <dxf>
      <fill>
        <patternFill patternType="solid">
          <fgColor rgb="FFFDF0C2"/>
          <bgColor rgb="FFFDF0C2"/>
        </patternFill>
      </fill>
    </dxf>
    <dxf>
      <fill>
        <patternFill patternType="solid">
          <fgColor rgb="FFFDF0C2"/>
          <bgColor rgb="FFFDF0C2"/>
        </patternFill>
      </fill>
    </dxf>
    <dxf>
      <font>
        <color rgb="FF000000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2DB85B-064D-4AA3-ACBC-75108878BD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7b919f9-3ffc-42da-9f9a-48af3164618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9"/>
  <sheetViews>
    <sheetView topLeftCell="A94" zoomScale="160" zoomScaleNormal="160" workbookViewId="0">
      <selection activeCell="D199" sqref="D199"/>
    </sheetView>
  </sheetViews>
  <sheetFormatPr defaultColWidth="14.42578125" defaultRowHeight="15" customHeight="1" x14ac:dyDescent="0.25"/>
  <cols>
    <col min="1" max="1" width="40.5703125" customWidth="1"/>
    <col min="2" max="2" width="14.28515625" customWidth="1"/>
    <col min="3" max="3" width="14.85546875" customWidth="1"/>
    <col min="4" max="4" width="15.42578125" customWidth="1"/>
    <col min="5" max="5" width="14.85546875" customWidth="1"/>
    <col min="6" max="6" width="14.5703125" bestFit="1" customWidth="1"/>
    <col min="7" max="7" width="13.7109375" customWidth="1"/>
    <col min="8" max="8" width="19.85546875" customWidth="1"/>
    <col min="9" max="9" width="16.28515625" customWidth="1"/>
    <col min="10" max="11" width="8.7109375" customWidth="1"/>
    <col min="12" max="12" width="11.7109375" customWidth="1"/>
    <col min="13" max="26" width="8.7109375" customWidth="1"/>
  </cols>
  <sheetData>
    <row r="1" spans="1:12" ht="3.75" customHeight="1" x14ac:dyDescent="0.25">
      <c r="A1" s="2"/>
      <c r="B1" s="2"/>
      <c r="C1" s="2"/>
      <c r="D1" s="2"/>
      <c r="E1" s="2"/>
      <c r="F1" s="2"/>
      <c r="G1" s="2"/>
      <c r="H1" s="2"/>
    </row>
    <row r="2" spans="1:12" ht="27.75" customHeight="1" x14ac:dyDescent="0.25">
      <c r="A2" s="4" t="s">
        <v>0</v>
      </c>
      <c r="B2" s="5" t="s">
        <v>1</v>
      </c>
      <c r="C2" s="6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12" ht="18" customHeight="1" x14ac:dyDescent="0.25"/>
    <row r="4" spans="1:12" ht="18" customHeight="1" x14ac:dyDescent="0.25">
      <c r="A4" s="93" t="s">
        <v>8</v>
      </c>
      <c r="B4" s="94"/>
      <c r="C4" s="94"/>
      <c r="D4" s="94"/>
      <c r="E4" s="94"/>
      <c r="F4" s="94"/>
      <c r="G4" s="94"/>
      <c r="H4" s="95"/>
    </row>
    <row r="5" spans="1:12" ht="18" customHeight="1" x14ac:dyDescent="0.25">
      <c r="A5" s="3" t="s">
        <v>9</v>
      </c>
      <c r="B5" s="7">
        <v>800</v>
      </c>
      <c r="C5" s="7">
        <v>321.75</v>
      </c>
      <c r="D5" s="7">
        <v>71.16</v>
      </c>
      <c r="E5" s="7">
        <f>C5+D5</f>
        <v>392.90999999999997</v>
      </c>
      <c r="F5" s="7">
        <f>IF(AND(B5&gt;0,B5&gt;E5),B5-E5,0)</f>
        <v>407.09000000000003</v>
      </c>
      <c r="G5" s="7">
        <f>IF(AND(B5&gt;0,B5&lt;E5),B5-E5,0)</f>
        <v>0</v>
      </c>
      <c r="H5" s="7">
        <f>IF(AND(B5=0,B5&lt;E5),E5-B5,0)</f>
        <v>0</v>
      </c>
    </row>
    <row r="6" spans="1:12" ht="18" customHeight="1" x14ac:dyDescent="0.25">
      <c r="A6" s="8" t="s">
        <v>10</v>
      </c>
      <c r="B6" s="9">
        <f t="shared" ref="B6:H6" si="0">SUM(B5)</f>
        <v>800</v>
      </c>
      <c r="C6" s="9">
        <f t="shared" si="0"/>
        <v>321.75</v>
      </c>
      <c r="D6" s="9">
        <f t="shared" si="0"/>
        <v>71.16</v>
      </c>
      <c r="E6" s="9">
        <f t="shared" si="0"/>
        <v>392.90999999999997</v>
      </c>
      <c r="F6" s="9">
        <f t="shared" si="0"/>
        <v>407.09000000000003</v>
      </c>
      <c r="G6" s="9">
        <f t="shared" si="0"/>
        <v>0</v>
      </c>
      <c r="H6" s="9">
        <f t="shared" si="0"/>
        <v>0</v>
      </c>
    </row>
    <row r="7" spans="1:12" ht="14.25" customHeight="1" x14ac:dyDescent="0.25">
      <c r="B7" s="10"/>
      <c r="C7" s="10"/>
      <c r="D7" s="10"/>
      <c r="E7" s="10"/>
      <c r="F7" s="10"/>
      <c r="G7" s="10"/>
      <c r="H7" s="10"/>
    </row>
    <row r="8" spans="1:12" ht="18" customHeight="1" x14ac:dyDescent="0.25">
      <c r="A8" s="96" t="s">
        <v>11</v>
      </c>
      <c r="B8" s="94"/>
      <c r="C8" s="94"/>
      <c r="D8" s="94"/>
      <c r="E8" s="94"/>
      <c r="F8" s="94"/>
      <c r="G8" s="94"/>
      <c r="H8" s="95"/>
    </row>
    <row r="9" spans="1:12" ht="18" customHeight="1" x14ac:dyDescent="0.25">
      <c r="A9" s="3" t="s">
        <v>12</v>
      </c>
      <c r="B9" s="7">
        <v>8500</v>
      </c>
      <c r="C9" s="7">
        <v>14725.75</v>
      </c>
      <c r="D9" s="7">
        <v>128.13</v>
      </c>
      <c r="E9" s="7">
        <f t="shared" ref="E9:E11" si="1">C9+D9</f>
        <v>14853.88</v>
      </c>
      <c r="F9" s="7">
        <f t="shared" ref="F9:F11" si="2">IF(AND(B9&gt;0,B9&gt;E9),B9-E9,0)</f>
        <v>0</v>
      </c>
      <c r="G9" s="7">
        <f t="shared" ref="G9:G11" si="3">IF(AND(B9&gt;0,B9&lt;E9),B9-E9,0)</f>
        <v>-6353.8799999999992</v>
      </c>
      <c r="H9" s="7">
        <f>IF(AND(B9=0,B9&lt;E9),E9-B9,0)</f>
        <v>0</v>
      </c>
    </row>
    <row r="10" spans="1:12" ht="18" customHeight="1" x14ac:dyDescent="0.25">
      <c r="A10" s="11" t="s">
        <v>13</v>
      </c>
      <c r="B10" s="12">
        <v>11250</v>
      </c>
      <c r="C10" s="12"/>
      <c r="D10" s="12">
        <v>0</v>
      </c>
      <c r="E10" s="12">
        <f t="shared" si="1"/>
        <v>0</v>
      </c>
      <c r="F10" s="12">
        <f t="shared" si="2"/>
        <v>11250</v>
      </c>
      <c r="G10" s="12">
        <f t="shared" si="3"/>
        <v>0</v>
      </c>
      <c r="H10" s="12">
        <v>0</v>
      </c>
      <c r="L10" s="13"/>
    </row>
    <row r="11" spans="1:12" ht="18" customHeight="1" x14ac:dyDescent="0.25">
      <c r="A11" s="3" t="s">
        <v>14</v>
      </c>
      <c r="B11" s="7">
        <v>40</v>
      </c>
      <c r="C11" s="7"/>
      <c r="D11" s="7">
        <v>0</v>
      </c>
      <c r="E11" s="7">
        <f t="shared" si="1"/>
        <v>0</v>
      </c>
      <c r="F11" s="7">
        <f t="shared" si="2"/>
        <v>40</v>
      </c>
      <c r="G11" s="7">
        <f t="shared" si="3"/>
        <v>0</v>
      </c>
      <c r="H11" s="7">
        <f>IF(AND(B11=0,B11&lt;E11),E11-B11,0)</f>
        <v>0</v>
      </c>
    </row>
    <row r="12" spans="1:12" ht="18" customHeight="1" x14ac:dyDescent="0.25">
      <c r="A12" s="8" t="s">
        <v>15</v>
      </c>
      <c r="B12" s="9">
        <f t="shared" ref="B12:H12" si="4">SUM(B9:B11)</f>
        <v>19790</v>
      </c>
      <c r="C12" s="9">
        <f t="shared" si="4"/>
        <v>14725.75</v>
      </c>
      <c r="D12" s="9">
        <f t="shared" si="4"/>
        <v>128.13</v>
      </c>
      <c r="E12" s="9">
        <f t="shared" si="4"/>
        <v>14853.88</v>
      </c>
      <c r="F12" s="9">
        <f t="shared" si="4"/>
        <v>11290</v>
      </c>
      <c r="G12" s="9">
        <f t="shared" si="4"/>
        <v>-6353.8799999999992</v>
      </c>
      <c r="H12" s="9">
        <f t="shared" si="4"/>
        <v>0</v>
      </c>
    </row>
    <row r="13" spans="1:12" ht="14.25" customHeight="1" x14ac:dyDescent="0.25">
      <c r="B13" s="10"/>
      <c r="C13" s="10"/>
      <c r="D13" s="10"/>
      <c r="E13" s="10"/>
      <c r="F13" s="10"/>
      <c r="G13" s="10"/>
      <c r="H13" s="10"/>
    </row>
    <row r="14" spans="1:12" ht="18" customHeight="1" x14ac:dyDescent="0.25">
      <c r="A14" s="96" t="s">
        <v>16</v>
      </c>
      <c r="B14" s="94"/>
      <c r="C14" s="94"/>
      <c r="D14" s="94"/>
      <c r="E14" s="94"/>
      <c r="F14" s="94"/>
      <c r="G14" s="94"/>
      <c r="H14" s="95"/>
    </row>
    <row r="15" spans="1:12" ht="18" customHeight="1" x14ac:dyDescent="0.25">
      <c r="A15" s="3" t="s">
        <v>17</v>
      </c>
      <c r="B15" s="7">
        <v>2000</v>
      </c>
      <c r="C15" s="7">
        <v>975</v>
      </c>
      <c r="D15" s="7"/>
      <c r="E15" s="7">
        <f t="shared" ref="E15:E19" si="5">C15+D15</f>
        <v>975</v>
      </c>
      <c r="F15" s="7">
        <f t="shared" ref="F15:F19" si="6">IF(AND(B15&gt;0,B15&gt;E15),B15-E15,0)</f>
        <v>1025</v>
      </c>
      <c r="G15" s="7">
        <f t="shared" ref="G15:G19" si="7">IF(AND(B15&gt;0,B15&lt;E15),B15-E15,0)</f>
        <v>0</v>
      </c>
      <c r="H15" s="7">
        <f t="shared" ref="H15:H19" si="8">IF(AND(B15=0,B15&lt;E15),E15-B15,0)</f>
        <v>0</v>
      </c>
    </row>
    <row r="16" spans="1:12" ht="18" customHeight="1" x14ac:dyDescent="0.25">
      <c r="A16" s="11" t="s">
        <v>18</v>
      </c>
      <c r="B16" s="12">
        <v>6000</v>
      </c>
      <c r="C16" s="12">
        <v>3971.15</v>
      </c>
      <c r="D16" s="12">
        <v>892.5</v>
      </c>
      <c r="E16" s="12">
        <f t="shared" si="5"/>
        <v>4863.6499999999996</v>
      </c>
      <c r="F16" s="12">
        <f t="shared" si="6"/>
        <v>1136.3500000000004</v>
      </c>
      <c r="G16" s="12">
        <f t="shared" si="7"/>
        <v>0</v>
      </c>
      <c r="H16" s="12">
        <f t="shared" si="8"/>
        <v>0</v>
      </c>
    </row>
    <row r="17" spans="1:8" ht="18" customHeight="1" x14ac:dyDescent="0.25">
      <c r="A17" s="3" t="s">
        <v>19</v>
      </c>
      <c r="B17" s="7">
        <v>4000</v>
      </c>
      <c r="C17" s="7">
        <v>6537.4</v>
      </c>
      <c r="D17" s="7">
        <v>352.4</v>
      </c>
      <c r="E17" s="7">
        <f t="shared" si="5"/>
        <v>6889.7999999999993</v>
      </c>
      <c r="F17" s="7">
        <f t="shared" si="6"/>
        <v>0</v>
      </c>
      <c r="G17" s="7">
        <f t="shared" si="7"/>
        <v>-2889.7999999999993</v>
      </c>
      <c r="H17" s="7">
        <f t="shared" si="8"/>
        <v>0</v>
      </c>
    </row>
    <row r="18" spans="1:8" ht="18" customHeight="1" x14ac:dyDescent="0.25">
      <c r="A18" s="11" t="s">
        <v>20</v>
      </c>
      <c r="B18" s="12">
        <v>6000</v>
      </c>
      <c r="C18" s="12"/>
      <c r="D18" s="12">
        <v>0</v>
      </c>
      <c r="E18" s="12">
        <f t="shared" si="5"/>
        <v>0</v>
      </c>
      <c r="F18" s="12">
        <f t="shared" si="6"/>
        <v>6000</v>
      </c>
      <c r="G18" s="12">
        <f t="shared" si="7"/>
        <v>0</v>
      </c>
      <c r="H18" s="12">
        <f t="shared" si="8"/>
        <v>0</v>
      </c>
    </row>
    <row r="19" spans="1:8" ht="18" customHeight="1" x14ac:dyDescent="0.25">
      <c r="A19" s="14" t="s">
        <v>21</v>
      </c>
      <c r="B19" s="15"/>
      <c r="C19" s="15">
        <v>1800</v>
      </c>
      <c r="D19" s="15"/>
      <c r="E19" s="15">
        <f t="shared" si="5"/>
        <v>1800</v>
      </c>
      <c r="F19" s="15">
        <f t="shared" si="6"/>
        <v>0</v>
      </c>
      <c r="G19" s="15">
        <f t="shared" si="7"/>
        <v>0</v>
      </c>
      <c r="H19" s="15">
        <f t="shared" si="8"/>
        <v>1800</v>
      </c>
    </row>
    <row r="20" spans="1:8" ht="18" customHeight="1" x14ac:dyDescent="0.25">
      <c r="A20" s="8" t="s">
        <v>22</v>
      </c>
      <c r="B20" s="9">
        <f t="shared" ref="B20:H20" si="9">SUM(B15:B19)</f>
        <v>18000</v>
      </c>
      <c r="C20" s="9">
        <f t="shared" si="9"/>
        <v>13283.55</v>
      </c>
      <c r="D20" s="9">
        <f t="shared" si="9"/>
        <v>1244.9000000000001</v>
      </c>
      <c r="E20" s="9">
        <f t="shared" si="9"/>
        <v>14528.449999999999</v>
      </c>
      <c r="F20" s="9">
        <f t="shared" si="9"/>
        <v>8161.35</v>
      </c>
      <c r="G20" s="9">
        <f t="shared" si="9"/>
        <v>-2889.7999999999993</v>
      </c>
      <c r="H20" s="9">
        <f t="shared" si="9"/>
        <v>1800</v>
      </c>
    </row>
    <row r="21" spans="1:8" ht="14.25" customHeight="1" x14ac:dyDescent="0.25">
      <c r="B21" s="10"/>
      <c r="C21" s="10"/>
      <c r="D21" s="10"/>
      <c r="E21" s="10"/>
      <c r="F21" s="10"/>
      <c r="G21" s="10"/>
      <c r="H21" s="10"/>
    </row>
    <row r="22" spans="1:8" ht="18" customHeight="1" x14ac:dyDescent="0.25">
      <c r="A22" s="96" t="s">
        <v>23</v>
      </c>
      <c r="B22" s="94"/>
      <c r="C22" s="94"/>
      <c r="D22" s="94"/>
      <c r="E22" s="94"/>
      <c r="F22" s="94"/>
      <c r="G22" s="94"/>
      <c r="H22" s="95"/>
    </row>
    <row r="23" spans="1:8" ht="18" customHeight="1" x14ac:dyDescent="0.25">
      <c r="A23" s="3" t="s">
        <v>24</v>
      </c>
      <c r="B23" s="7">
        <v>45000</v>
      </c>
      <c r="C23" s="7">
        <v>7625</v>
      </c>
      <c r="D23" s="7"/>
      <c r="E23" s="7">
        <f t="shared" ref="E23:E26" si="10">C23+D23</f>
        <v>7625</v>
      </c>
      <c r="F23" s="7">
        <f t="shared" ref="F23:F26" si="11">IF(AND(B23&gt;0,B23&gt;E23),B23-E23,0)</f>
        <v>37375</v>
      </c>
      <c r="G23" s="7">
        <f t="shared" ref="G23:G26" si="12">IF(AND(B23&gt;0,B23&lt;E23),B23-E23,0)</f>
        <v>0</v>
      </c>
      <c r="H23" s="7">
        <f t="shared" ref="H23:H26" si="13">IF(AND(B23=0,B23&lt;E23),E23-B23,0)</f>
        <v>0</v>
      </c>
    </row>
    <row r="24" spans="1:8" ht="18" customHeight="1" x14ac:dyDescent="0.25">
      <c r="A24" s="11" t="s">
        <v>25</v>
      </c>
      <c r="B24" s="12">
        <v>10000</v>
      </c>
      <c r="C24" s="12"/>
      <c r="D24" s="12"/>
      <c r="E24" s="12">
        <f t="shared" si="10"/>
        <v>0</v>
      </c>
      <c r="F24" s="12">
        <f t="shared" si="11"/>
        <v>10000</v>
      </c>
      <c r="G24" s="12">
        <f t="shared" si="12"/>
        <v>0</v>
      </c>
      <c r="H24" s="12">
        <f t="shared" si="13"/>
        <v>0</v>
      </c>
    </row>
    <row r="25" spans="1:8" ht="18" customHeight="1" x14ac:dyDescent="0.25">
      <c r="A25" s="3" t="s">
        <v>26</v>
      </c>
      <c r="B25" s="7">
        <v>7000</v>
      </c>
      <c r="C25" s="7"/>
      <c r="D25" s="7"/>
      <c r="E25" s="7">
        <f t="shared" si="10"/>
        <v>0</v>
      </c>
      <c r="F25" s="7">
        <f t="shared" si="11"/>
        <v>7000</v>
      </c>
      <c r="G25" s="7">
        <f t="shared" si="12"/>
        <v>0</v>
      </c>
      <c r="H25" s="7">
        <f t="shared" si="13"/>
        <v>0</v>
      </c>
    </row>
    <row r="26" spans="1:8" ht="18" customHeight="1" x14ac:dyDescent="0.25">
      <c r="A26" s="14" t="s">
        <v>27</v>
      </c>
      <c r="B26" s="15"/>
      <c r="C26" s="15">
        <v>1732.55</v>
      </c>
      <c r="D26" s="15"/>
      <c r="E26" s="15">
        <f t="shared" si="10"/>
        <v>1732.55</v>
      </c>
      <c r="F26" s="15">
        <f t="shared" si="11"/>
        <v>0</v>
      </c>
      <c r="G26" s="15">
        <f t="shared" si="12"/>
        <v>0</v>
      </c>
      <c r="H26" s="15">
        <f t="shared" si="13"/>
        <v>1732.55</v>
      </c>
    </row>
    <row r="27" spans="1:8" ht="18" customHeight="1" x14ac:dyDescent="0.25">
      <c r="A27" s="8" t="s">
        <v>28</v>
      </c>
      <c r="B27" s="9">
        <f t="shared" ref="B27:H27" si="14">SUM(B23:B26)</f>
        <v>62000</v>
      </c>
      <c r="C27" s="9">
        <f t="shared" si="14"/>
        <v>9357.5499999999993</v>
      </c>
      <c r="D27" s="9">
        <f>SUM(D23:D26)</f>
        <v>0</v>
      </c>
      <c r="E27" s="9">
        <f t="shared" si="14"/>
        <v>9357.5499999999993</v>
      </c>
      <c r="F27" s="9">
        <f t="shared" si="14"/>
        <v>54375</v>
      </c>
      <c r="G27" s="9">
        <f t="shared" si="14"/>
        <v>0</v>
      </c>
      <c r="H27" s="9">
        <f t="shared" si="14"/>
        <v>1732.55</v>
      </c>
    </row>
    <row r="28" spans="1:8" ht="14.25" customHeight="1" x14ac:dyDescent="0.25">
      <c r="B28" s="10"/>
      <c r="C28" s="10"/>
      <c r="D28" s="10"/>
      <c r="E28" s="10"/>
      <c r="F28" s="10"/>
      <c r="G28" s="10"/>
      <c r="H28" s="10"/>
    </row>
    <row r="29" spans="1:8" ht="18" customHeight="1" x14ac:dyDescent="0.25">
      <c r="A29" s="96" t="s">
        <v>29</v>
      </c>
      <c r="B29" s="94"/>
      <c r="C29" s="94"/>
      <c r="D29" s="94"/>
      <c r="E29" s="94"/>
      <c r="F29" s="94"/>
      <c r="G29" s="94"/>
      <c r="H29" s="95"/>
    </row>
    <row r="30" spans="1:8" ht="18" customHeight="1" x14ac:dyDescent="0.25">
      <c r="A30" s="3" t="s">
        <v>30</v>
      </c>
      <c r="B30" s="7">
        <v>8422.7199999999993</v>
      </c>
      <c r="C30" s="7"/>
      <c r="D30" s="7">
        <v>8280.42</v>
      </c>
      <c r="E30" s="7">
        <f t="shared" ref="E30:E41" si="15">C30+D30</f>
        <v>8280.42</v>
      </c>
      <c r="F30" s="7">
        <f t="shared" ref="F30:F41" si="16">IF(AND(B30&gt;0,B30&gt;E30),B30-E30,0)</f>
        <v>142.29999999999927</v>
      </c>
      <c r="G30" s="7">
        <f t="shared" ref="G30:G41" si="17">IF(AND(B30&gt;0,B30&lt;E30),B30-E30,0)</f>
        <v>0</v>
      </c>
      <c r="H30" s="7">
        <f t="shared" ref="H30:H41" si="18">IF(AND(B30=0,B30&lt;E30),E30-B30,0)</f>
        <v>0</v>
      </c>
    </row>
    <row r="31" spans="1:8" ht="18" customHeight="1" x14ac:dyDescent="0.25">
      <c r="A31" s="11" t="s">
        <v>31</v>
      </c>
      <c r="B31" s="12">
        <v>17635</v>
      </c>
      <c r="C31" s="12"/>
      <c r="D31" s="12">
        <v>17635</v>
      </c>
      <c r="E31" s="12">
        <f t="shared" si="15"/>
        <v>17635</v>
      </c>
      <c r="F31" s="12">
        <f t="shared" si="16"/>
        <v>0</v>
      </c>
      <c r="G31" s="12">
        <f t="shared" si="17"/>
        <v>0</v>
      </c>
      <c r="H31" s="12">
        <f t="shared" si="18"/>
        <v>0</v>
      </c>
    </row>
    <row r="32" spans="1:8" ht="18" customHeight="1" x14ac:dyDescent="0.25">
      <c r="A32" s="16" t="s">
        <v>227</v>
      </c>
      <c r="B32" s="15"/>
      <c r="C32" s="15">
        <v>0</v>
      </c>
      <c r="D32" s="15">
        <v>11431.25</v>
      </c>
      <c r="E32" s="15">
        <f t="shared" si="15"/>
        <v>11431.25</v>
      </c>
      <c r="F32" s="15">
        <f t="shared" si="16"/>
        <v>0</v>
      </c>
      <c r="G32" s="15">
        <f t="shared" si="17"/>
        <v>0</v>
      </c>
      <c r="H32" s="15">
        <f t="shared" si="18"/>
        <v>11431.25</v>
      </c>
    </row>
    <row r="33" spans="1:8" ht="18" customHeight="1" x14ac:dyDescent="0.25">
      <c r="A33" s="3" t="s">
        <v>32</v>
      </c>
      <c r="B33" s="7">
        <v>14800</v>
      </c>
      <c r="C33" s="7"/>
      <c r="D33" s="7">
        <v>13806.21</v>
      </c>
      <c r="E33" s="7">
        <f t="shared" si="15"/>
        <v>13806.21</v>
      </c>
      <c r="F33" s="7">
        <f t="shared" si="16"/>
        <v>993.79000000000087</v>
      </c>
      <c r="G33" s="7">
        <f t="shared" si="17"/>
        <v>0</v>
      </c>
      <c r="H33" s="7">
        <f t="shared" si="18"/>
        <v>0</v>
      </c>
    </row>
    <row r="34" spans="1:8" ht="18" customHeight="1" x14ac:dyDescent="0.25">
      <c r="A34" s="11" t="s">
        <v>33</v>
      </c>
      <c r="B34" s="12">
        <v>1200</v>
      </c>
      <c r="C34" s="12"/>
      <c r="D34" s="12"/>
      <c r="E34" s="12">
        <f t="shared" si="15"/>
        <v>0</v>
      </c>
      <c r="F34" s="12">
        <f t="shared" si="16"/>
        <v>1200</v>
      </c>
      <c r="G34" s="12">
        <f t="shared" si="17"/>
        <v>0</v>
      </c>
      <c r="H34" s="12">
        <f t="shared" si="18"/>
        <v>0</v>
      </c>
    </row>
    <row r="35" spans="1:8" ht="18" customHeight="1" x14ac:dyDescent="0.25">
      <c r="A35" s="3" t="s">
        <v>34</v>
      </c>
      <c r="B35" s="7">
        <v>405.41</v>
      </c>
      <c r="C35" s="7"/>
      <c r="D35" s="7"/>
      <c r="E35" s="7">
        <f t="shared" si="15"/>
        <v>0</v>
      </c>
      <c r="F35" s="7">
        <f t="shared" si="16"/>
        <v>405.41</v>
      </c>
      <c r="G35" s="7">
        <f t="shared" si="17"/>
        <v>0</v>
      </c>
      <c r="H35" s="7">
        <f t="shared" si="18"/>
        <v>0</v>
      </c>
    </row>
    <row r="36" spans="1:8" ht="18" customHeight="1" x14ac:dyDescent="0.25">
      <c r="A36" s="11" t="s">
        <v>35</v>
      </c>
      <c r="B36" s="12">
        <v>3600</v>
      </c>
      <c r="C36" s="12"/>
      <c r="D36" s="12"/>
      <c r="E36" s="12">
        <f t="shared" si="15"/>
        <v>0</v>
      </c>
      <c r="F36" s="12">
        <f t="shared" si="16"/>
        <v>3600</v>
      </c>
      <c r="G36" s="12">
        <f t="shared" si="17"/>
        <v>0</v>
      </c>
      <c r="H36" s="12">
        <f t="shared" si="18"/>
        <v>0</v>
      </c>
    </row>
    <row r="37" spans="1:8" ht="18" customHeight="1" x14ac:dyDescent="0.25">
      <c r="A37" s="3" t="s">
        <v>36</v>
      </c>
      <c r="B37" s="7">
        <v>3200</v>
      </c>
      <c r="C37" s="7"/>
      <c r="D37" s="7"/>
      <c r="E37" s="7">
        <f t="shared" si="15"/>
        <v>0</v>
      </c>
      <c r="F37" s="7">
        <f t="shared" si="16"/>
        <v>3200</v>
      </c>
      <c r="G37" s="7">
        <f t="shared" si="17"/>
        <v>0</v>
      </c>
      <c r="H37" s="7">
        <f t="shared" si="18"/>
        <v>0</v>
      </c>
    </row>
    <row r="38" spans="1:8" ht="18" customHeight="1" x14ac:dyDescent="0.25">
      <c r="A38" s="11" t="s">
        <v>37</v>
      </c>
      <c r="B38" s="12">
        <v>4887</v>
      </c>
      <c r="C38" s="12"/>
      <c r="D38" s="12"/>
      <c r="E38" s="12">
        <f t="shared" si="15"/>
        <v>0</v>
      </c>
      <c r="F38" s="12">
        <f t="shared" si="16"/>
        <v>4887</v>
      </c>
      <c r="G38" s="12">
        <f t="shared" si="17"/>
        <v>0</v>
      </c>
      <c r="H38" s="12">
        <f t="shared" si="18"/>
        <v>0</v>
      </c>
    </row>
    <row r="39" spans="1:8" ht="18" customHeight="1" x14ac:dyDescent="0.25">
      <c r="A39" s="3" t="s">
        <v>38</v>
      </c>
      <c r="B39" s="7">
        <v>4500</v>
      </c>
      <c r="C39" s="7"/>
      <c r="D39" s="7">
        <v>3232.88</v>
      </c>
      <c r="E39" s="7">
        <f t="shared" si="15"/>
        <v>3232.88</v>
      </c>
      <c r="F39" s="7">
        <f t="shared" si="16"/>
        <v>1267.1199999999999</v>
      </c>
      <c r="G39" s="7">
        <f t="shared" si="17"/>
        <v>0</v>
      </c>
      <c r="H39" s="7">
        <f t="shared" si="18"/>
        <v>0</v>
      </c>
    </row>
    <row r="40" spans="1:8" ht="18" customHeight="1" x14ac:dyDescent="0.25">
      <c r="A40" s="11" t="s">
        <v>39</v>
      </c>
      <c r="B40" s="12">
        <v>7500</v>
      </c>
      <c r="C40" s="12"/>
      <c r="D40" s="12">
        <v>2735.6</v>
      </c>
      <c r="E40" s="12">
        <f t="shared" si="15"/>
        <v>2735.6</v>
      </c>
      <c r="F40" s="12">
        <f t="shared" si="16"/>
        <v>4764.3999999999996</v>
      </c>
      <c r="G40" s="12">
        <f t="shared" si="17"/>
        <v>0</v>
      </c>
      <c r="H40" s="12">
        <f t="shared" si="18"/>
        <v>0</v>
      </c>
    </row>
    <row r="41" spans="1:8" ht="18" customHeight="1" x14ac:dyDescent="0.25">
      <c r="A41" s="3" t="s">
        <v>26</v>
      </c>
      <c r="B41" s="7">
        <v>5689.21</v>
      </c>
      <c r="C41" s="7"/>
      <c r="D41" s="7"/>
      <c r="E41" s="7">
        <f t="shared" si="15"/>
        <v>0</v>
      </c>
      <c r="F41" s="7">
        <f t="shared" si="16"/>
        <v>5689.21</v>
      </c>
      <c r="G41" s="7">
        <f t="shared" si="17"/>
        <v>0</v>
      </c>
      <c r="H41" s="7">
        <f t="shared" si="18"/>
        <v>0</v>
      </c>
    </row>
    <row r="42" spans="1:8" ht="18" customHeight="1" x14ac:dyDescent="0.25">
      <c r="A42" s="8" t="s">
        <v>40</v>
      </c>
      <c r="B42" s="9">
        <f t="shared" ref="B42:H42" si="19">SUM(B30:B41)</f>
        <v>71839.340000000011</v>
      </c>
      <c r="C42" s="9">
        <f t="shared" si="19"/>
        <v>0</v>
      </c>
      <c r="D42" s="9">
        <f t="shared" si="19"/>
        <v>57121.359999999993</v>
      </c>
      <c r="E42" s="9">
        <f t="shared" si="19"/>
        <v>57121.359999999993</v>
      </c>
      <c r="F42" s="9">
        <f t="shared" si="19"/>
        <v>26149.229999999996</v>
      </c>
      <c r="G42" s="9">
        <f t="shared" si="19"/>
        <v>0</v>
      </c>
      <c r="H42" s="9">
        <f t="shared" si="19"/>
        <v>11431.25</v>
      </c>
    </row>
    <row r="43" spans="1:8" ht="14.25" customHeight="1" x14ac:dyDescent="0.25">
      <c r="B43" s="10"/>
      <c r="C43" s="10"/>
      <c r="D43" s="10"/>
      <c r="E43" s="10"/>
      <c r="F43" s="10"/>
      <c r="G43" s="10"/>
      <c r="H43" s="10"/>
    </row>
    <row r="44" spans="1:8" ht="18" customHeight="1" x14ac:dyDescent="0.25">
      <c r="A44" s="96" t="s">
        <v>41</v>
      </c>
      <c r="B44" s="94"/>
      <c r="C44" s="94"/>
      <c r="D44" s="94"/>
      <c r="E44" s="94"/>
      <c r="F44" s="94"/>
      <c r="G44" s="94"/>
      <c r="H44" s="95"/>
    </row>
    <row r="45" spans="1:8" ht="18" customHeight="1" x14ac:dyDescent="0.25">
      <c r="A45" s="3" t="s">
        <v>42</v>
      </c>
      <c r="B45" s="7">
        <v>44144.27</v>
      </c>
      <c r="C45" s="7"/>
      <c r="D45" s="7"/>
      <c r="E45" s="7">
        <f t="shared" ref="E45:E51" si="20">C45+D45</f>
        <v>0</v>
      </c>
      <c r="F45" s="7">
        <f t="shared" ref="F45:F51" si="21">IF(AND(B45&gt;0,B45&gt;E45),B45-E45,0)</f>
        <v>44144.27</v>
      </c>
      <c r="G45" s="7">
        <f t="shared" ref="G45:G51" si="22">IF(AND(B45&gt;0,B45&lt;E45),B45-E45,0)</f>
        <v>0</v>
      </c>
      <c r="H45" s="7">
        <f t="shared" ref="H45:H51" si="23">IF(AND(B45=0,B45&lt;E45),E45-B45,0)</f>
        <v>0</v>
      </c>
    </row>
    <row r="46" spans="1:8" ht="18" customHeight="1" x14ac:dyDescent="0.25">
      <c r="A46" s="11" t="s">
        <v>43</v>
      </c>
      <c r="B46" s="12">
        <v>45000</v>
      </c>
      <c r="C46" s="12"/>
      <c r="D46" s="12"/>
      <c r="E46" s="12">
        <f t="shared" si="20"/>
        <v>0</v>
      </c>
      <c r="F46" s="12">
        <f t="shared" si="21"/>
        <v>45000</v>
      </c>
      <c r="G46" s="12">
        <f t="shared" si="22"/>
        <v>0</v>
      </c>
      <c r="H46" s="12">
        <f t="shared" si="23"/>
        <v>0</v>
      </c>
    </row>
    <row r="47" spans="1:8" ht="18" customHeight="1" x14ac:dyDescent="0.25">
      <c r="A47" s="3" t="s">
        <v>44</v>
      </c>
      <c r="B47" s="7">
        <v>20915.150000000001</v>
      </c>
      <c r="C47" s="7"/>
      <c r="D47" s="7"/>
      <c r="E47" s="7">
        <f t="shared" si="20"/>
        <v>0</v>
      </c>
      <c r="F47" s="7">
        <f t="shared" si="21"/>
        <v>20915.150000000001</v>
      </c>
      <c r="G47" s="7">
        <f t="shared" si="22"/>
        <v>0</v>
      </c>
      <c r="H47" s="7">
        <f t="shared" si="23"/>
        <v>0</v>
      </c>
    </row>
    <row r="48" spans="1:8" ht="18" customHeight="1" x14ac:dyDescent="0.25">
      <c r="A48" s="11" t="s">
        <v>45</v>
      </c>
      <c r="B48" s="12">
        <v>4236.2</v>
      </c>
      <c r="C48" s="12"/>
      <c r="D48" s="12">
        <v>637.91</v>
      </c>
      <c r="E48" s="12">
        <f t="shared" si="20"/>
        <v>637.91</v>
      </c>
      <c r="F48" s="12">
        <f t="shared" si="21"/>
        <v>3598.29</v>
      </c>
      <c r="G48" s="12">
        <f t="shared" si="22"/>
        <v>0</v>
      </c>
      <c r="H48" s="12">
        <f t="shared" si="23"/>
        <v>0</v>
      </c>
    </row>
    <row r="49" spans="1:8" ht="18" customHeight="1" x14ac:dyDescent="0.25">
      <c r="A49" s="3" t="s">
        <v>46</v>
      </c>
      <c r="B49" s="7">
        <v>1102.5</v>
      </c>
      <c r="C49" s="7"/>
      <c r="D49" s="7"/>
      <c r="E49" s="7">
        <f t="shared" si="20"/>
        <v>0</v>
      </c>
      <c r="F49" s="7">
        <f t="shared" si="21"/>
        <v>1102.5</v>
      </c>
      <c r="G49" s="7">
        <f t="shared" si="22"/>
        <v>0</v>
      </c>
      <c r="H49" s="7">
        <f t="shared" si="23"/>
        <v>0</v>
      </c>
    </row>
    <row r="50" spans="1:8" ht="18" customHeight="1" x14ac:dyDescent="0.25">
      <c r="A50" s="11" t="s">
        <v>47</v>
      </c>
      <c r="B50" s="12">
        <v>2692.58</v>
      </c>
      <c r="C50" s="12"/>
      <c r="D50" s="12"/>
      <c r="E50" s="12">
        <f t="shared" si="20"/>
        <v>0</v>
      </c>
      <c r="F50" s="12">
        <f t="shared" si="21"/>
        <v>2692.58</v>
      </c>
      <c r="G50" s="12">
        <f t="shared" si="22"/>
        <v>0</v>
      </c>
      <c r="H50" s="12">
        <f t="shared" si="23"/>
        <v>0</v>
      </c>
    </row>
    <row r="51" spans="1:8" ht="18" customHeight="1" x14ac:dyDescent="0.25">
      <c r="A51" s="3" t="s">
        <v>26</v>
      </c>
      <c r="B51" s="7">
        <v>6657.07</v>
      </c>
      <c r="C51" s="7"/>
      <c r="D51" s="7"/>
      <c r="E51" s="7">
        <f t="shared" si="20"/>
        <v>0</v>
      </c>
      <c r="F51" s="7">
        <f t="shared" si="21"/>
        <v>6657.07</v>
      </c>
      <c r="G51" s="7">
        <f t="shared" si="22"/>
        <v>0</v>
      </c>
      <c r="H51" s="7">
        <f t="shared" si="23"/>
        <v>0</v>
      </c>
    </row>
    <row r="52" spans="1:8" ht="18" customHeight="1" x14ac:dyDescent="0.25">
      <c r="A52" s="8" t="s">
        <v>48</v>
      </c>
      <c r="B52" s="9">
        <f t="shared" ref="B52:H52" si="24">SUM(B45:B51)</f>
        <v>124747.76999999999</v>
      </c>
      <c r="C52" s="9">
        <f t="shared" si="24"/>
        <v>0</v>
      </c>
      <c r="D52" s="9">
        <f t="shared" si="24"/>
        <v>637.91</v>
      </c>
      <c r="E52" s="9">
        <f t="shared" si="24"/>
        <v>637.91</v>
      </c>
      <c r="F52" s="9">
        <f t="shared" si="24"/>
        <v>124109.85999999999</v>
      </c>
      <c r="G52" s="9">
        <f t="shared" si="24"/>
        <v>0</v>
      </c>
      <c r="H52" s="9">
        <f t="shared" si="24"/>
        <v>0</v>
      </c>
    </row>
    <row r="53" spans="1:8" ht="14.25" customHeight="1" x14ac:dyDescent="0.25">
      <c r="B53" s="10"/>
      <c r="C53" s="10"/>
      <c r="D53" s="10"/>
      <c r="E53" s="10"/>
      <c r="F53" s="10"/>
      <c r="G53" s="10"/>
      <c r="H53" s="10"/>
    </row>
    <row r="54" spans="1:8" ht="18" customHeight="1" x14ac:dyDescent="0.25">
      <c r="A54" s="96" t="s">
        <v>49</v>
      </c>
      <c r="B54" s="94"/>
      <c r="C54" s="94"/>
      <c r="D54" s="94"/>
      <c r="E54" s="94"/>
      <c r="F54" s="94"/>
      <c r="G54" s="94"/>
      <c r="H54" s="95"/>
    </row>
    <row r="55" spans="1:8" ht="18" customHeight="1" x14ac:dyDescent="0.25">
      <c r="A55" s="3" t="s">
        <v>50</v>
      </c>
      <c r="B55" s="7">
        <v>29255.8</v>
      </c>
      <c r="C55" s="7"/>
      <c r="D55" s="7"/>
      <c r="E55" s="7">
        <f t="shared" ref="E55:E56" si="25">C55+D55</f>
        <v>0</v>
      </c>
      <c r="F55" s="7">
        <f t="shared" ref="F55:F56" si="26">IF(AND(B55&gt;0,B55&gt;E55),B55-E55,0)</f>
        <v>29255.8</v>
      </c>
      <c r="G55" s="7">
        <f t="shared" ref="G55:G56" si="27">IF(AND(B55&gt;0,B55&lt;E55),B55-E55,0)</f>
        <v>0</v>
      </c>
      <c r="H55" s="7">
        <f t="shared" ref="H55:H56" si="28">IF(AND(B55=0,B55&lt;E55),E55-B55,0)</f>
        <v>0</v>
      </c>
    </row>
    <row r="56" spans="1:8" ht="18" customHeight="1" x14ac:dyDescent="0.25">
      <c r="A56" s="11" t="s">
        <v>26</v>
      </c>
      <c r="B56" s="12">
        <v>2925.58</v>
      </c>
      <c r="C56" s="12"/>
      <c r="D56" s="12"/>
      <c r="E56" s="12">
        <f t="shared" si="25"/>
        <v>0</v>
      </c>
      <c r="F56" s="12">
        <f t="shared" si="26"/>
        <v>2925.58</v>
      </c>
      <c r="G56" s="12">
        <f t="shared" si="27"/>
        <v>0</v>
      </c>
      <c r="H56" s="12">
        <f t="shared" si="28"/>
        <v>0</v>
      </c>
    </row>
    <row r="57" spans="1:8" ht="18" customHeight="1" x14ac:dyDescent="0.25">
      <c r="A57" s="8" t="s">
        <v>51</v>
      </c>
      <c r="B57" s="9">
        <f t="shared" ref="B57:H57" si="29">SUM(B55:B56)</f>
        <v>32181.379999999997</v>
      </c>
      <c r="C57" s="9">
        <f t="shared" si="29"/>
        <v>0</v>
      </c>
      <c r="D57" s="9">
        <f t="shared" si="29"/>
        <v>0</v>
      </c>
      <c r="E57" s="9">
        <f t="shared" si="29"/>
        <v>0</v>
      </c>
      <c r="F57" s="9">
        <f t="shared" si="29"/>
        <v>32181.379999999997</v>
      </c>
      <c r="G57" s="9">
        <f t="shared" si="29"/>
        <v>0</v>
      </c>
      <c r="H57" s="9">
        <f t="shared" si="29"/>
        <v>0</v>
      </c>
    </row>
    <row r="58" spans="1:8" ht="14.25" customHeight="1" x14ac:dyDescent="0.25">
      <c r="B58" s="10"/>
      <c r="C58" s="10"/>
      <c r="D58" s="10"/>
      <c r="E58" s="10"/>
      <c r="F58" s="10"/>
      <c r="G58" s="10"/>
      <c r="H58" s="10"/>
    </row>
    <row r="59" spans="1:8" ht="18" customHeight="1" x14ac:dyDescent="0.25">
      <c r="A59" s="96" t="s">
        <v>52</v>
      </c>
      <c r="B59" s="94"/>
      <c r="C59" s="94"/>
      <c r="D59" s="94"/>
      <c r="E59" s="94"/>
      <c r="F59" s="94"/>
      <c r="G59" s="94"/>
      <c r="H59" s="95"/>
    </row>
    <row r="60" spans="1:8" ht="18" customHeight="1" x14ac:dyDescent="0.25">
      <c r="A60" s="3" t="s">
        <v>53</v>
      </c>
      <c r="B60" s="7">
        <v>8444.31</v>
      </c>
      <c r="C60" s="7"/>
      <c r="D60" s="7"/>
      <c r="E60" s="7">
        <f t="shared" ref="E60:E62" si="30">C60+D60</f>
        <v>0</v>
      </c>
      <c r="F60" s="7">
        <f t="shared" ref="F60:F62" si="31">IF(AND(B60&gt;0,B60&gt;E60),B60-E60,0)</f>
        <v>8444.31</v>
      </c>
      <c r="G60" s="7">
        <f t="shared" ref="G60:G62" si="32">IF(AND(B60&gt;0,B60&lt;E60),B60-E60,0)</f>
        <v>0</v>
      </c>
      <c r="H60" s="7">
        <f t="shared" ref="H60:H62" si="33">IF(AND(B60=0,B60&lt;E60),E60-B60,0)</f>
        <v>0</v>
      </c>
    </row>
    <row r="61" spans="1:8" ht="18" customHeight="1" x14ac:dyDescent="0.25">
      <c r="A61" s="11" t="s">
        <v>54</v>
      </c>
      <c r="B61" s="12">
        <v>13404.2</v>
      </c>
      <c r="C61" s="12"/>
      <c r="D61" s="12"/>
      <c r="E61" s="12">
        <f t="shared" si="30"/>
        <v>0</v>
      </c>
      <c r="F61" s="12">
        <f t="shared" si="31"/>
        <v>13404.2</v>
      </c>
      <c r="G61" s="12">
        <f t="shared" si="32"/>
        <v>0</v>
      </c>
      <c r="H61" s="12">
        <f t="shared" si="33"/>
        <v>0</v>
      </c>
    </row>
    <row r="62" spans="1:8" ht="18" customHeight="1" x14ac:dyDescent="0.25">
      <c r="A62" s="3" t="s">
        <v>26</v>
      </c>
      <c r="B62" s="7">
        <v>2184.85</v>
      </c>
      <c r="C62" s="7"/>
      <c r="D62" s="7"/>
      <c r="E62" s="7">
        <f t="shared" si="30"/>
        <v>0</v>
      </c>
      <c r="F62" s="7">
        <f t="shared" si="31"/>
        <v>2184.85</v>
      </c>
      <c r="G62" s="7">
        <f t="shared" si="32"/>
        <v>0</v>
      </c>
      <c r="H62" s="7">
        <f t="shared" si="33"/>
        <v>0</v>
      </c>
    </row>
    <row r="63" spans="1:8" ht="18" customHeight="1" x14ac:dyDescent="0.25">
      <c r="A63" s="8" t="s">
        <v>55</v>
      </c>
      <c r="B63" s="9">
        <f t="shared" ref="B63:H63" si="34">SUM(B60:B62)</f>
        <v>24033.360000000001</v>
      </c>
      <c r="C63" s="9">
        <f t="shared" si="34"/>
        <v>0</v>
      </c>
      <c r="D63" s="9">
        <f t="shared" si="34"/>
        <v>0</v>
      </c>
      <c r="E63" s="9">
        <f t="shared" si="34"/>
        <v>0</v>
      </c>
      <c r="F63" s="9">
        <f t="shared" si="34"/>
        <v>24033.360000000001</v>
      </c>
      <c r="G63" s="9">
        <f t="shared" si="34"/>
        <v>0</v>
      </c>
      <c r="H63" s="9">
        <f t="shared" si="34"/>
        <v>0</v>
      </c>
    </row>
    <row r="64" spans="1:8" ht="14.25" customHeight="1" x14ac:dyDescent="0.25">
      <c r="B64" s="10"/>
      <c r="C64" s="10"/>
      <c r="D64" s="10"/>
      <c r="E64" s="10"/>
      <c r="F64" s="10"/>
      <c r="G64" s="10"/>
      <c r="H64" s="10"/>
    </row>
    <row r="65" spans="1:8" ht="18" customHeight="1" x14ac:dyDescent="0.25">
      <c r="A65" s="96" t="s">
        <v>56</v>
      </c>
      <c r="B65" s="94"/>
      <c r="C65" s="94"/>
      <c r="D65" s="94"/>
      <c r="E65" s="94"/>
      <c r="F65" s="94"/>
      <c r="G65" s="94"/>
      <c r="H65" s="95"/>
    </row>
    <row r="66" spans="1:8" ht="18" customHeight="1" x14ac:dyDescent="0.25">
      <c r="A66" s="3" t="s">
        <v>57</v>
      </c>
      <c r="B66" s="7">
        <v>67865</v>
      </c>
      <c r="C66" s="7"/>
      <c r="D66" s="7"/>
      <c r="E66" s="7">
        <f t="shared" ref="E66:E70" si="35">C66+D66</f>
        <v>0</v>
      </c>
      <c r="F66" s="7">
        <f t="shared" ref="F66:F70" si="36">IF(AND(B66&gt;0,B66&gt;E66),B66-E66,0)</f>
        <v>67865</v>
      </c>
      <c r="G66" s="7">
        <f t="shared" ref="G66:G70" si="37">IF(AND(B66&gt;0,B66&lt;E66),B66-E66,0)</f>
        <v>0</v>
      </c>
      <c r="H66" s="7">
        <f t="shared" ref="H66:H70" si="38">IF(AND(B66=0,B66&lt;E66),E66-B66,0)</f>
        <v>0</v>
      </c>
    </row>
    <row r="67" spans="1:8" ht="18" customHeight="1" x14ac:dyDescent="0.25">
      <c r="A67" s="11" t="s">
        <v>58</v>
      </c>
      <c r="B67" s="12">
        <v>6000</v>
      </c>
      <c r="C67" s="12"/>
      <c r="D67" s="12"/>
      <c r="E67" s="12">
        <f t="shared" si="35"/>
        <v>0</v>
      </c>
      <c r="F67" s="12">
        <f t="shared" si="36"/>
        <v>6000</v>
      </c>
      <c r="G67" s="12">
        <f t="shared" si="37"/>
        <v>0</v>
      </c>
      <c r="H67" s="12">
        <f t="shared" si="38"/>
        <v>0</v>
      </c>
    </row>
    <row r="68" spans="1:8" ht="18" customHeight="1" x14ac:dyDescent="0.25">
      <c r="A68" s="3" t="s">
        <v>59</v>
      </c>
      <c r="B68" s="7">
        <v>26044</v>
      </c>
      <c r="C68" s="7"/>
      <c r="D68" s="7"/>
      <c r="E68" s="7">
        <f t="shared" si="35"/>
        <v>0</v>
      </c>
      <c r="F68" s="7">
        <f t="shared" si="36"/>
        <v>26044</v>
      </c>
      <c r="G68" s="7">
        <f t="shared" si="37"/>
        <v>0</v>
      </c>
      <c r="H68" s="7">
        <f t="shared" si="38"/>
        <v>0</v>
      </c>
    </row>
    <row r="69" spans="1:8" ht="18" customHeight="1" x14ac:dyDescent="0.25">
      <c r="A69" s="11" t="s">
        <v>26</v>
      </c>
      <c r="B69" s="12">
        <v>9390.9</v>
      </c>
      <c r="C69" s="12"/>
      <c r="D69" s="12"/>
      <c r="E69" s="12">
        <f t="shared" si="35"/>
        <v>0</v>
      </c>
      <c r="F69" s="12">
        <f t="shared" si="36"/>
        <v>9390.9</v>
      </c>
      <c r="G69" s="12">
        <f t="shared" si="37"/>
        <v>0</v>
      </c>
      <c r="H69" s="12">
        <f t="shared" si="38"/>
        <v>0</v>
      </c>
    </row>
    <row r="70" spans="1:8" ht="14.25" customHeight="1" x14ac:dyDescent="0.25">
      <c r="A70" s="16" t="s">
        <v>60</v>
      </c>
      <c r="B70" s="15"/>
      <c r="C70" s="15">
        <v>1864.51</v>
      </c>
      <c r="D70" s="15"/>
      <c r="E70" s="15">
        <f t="shared" si="35"/>
        <v>1864.51</v>
      </c>
      <c r="F70" s="15">
        <f t="shared" si="36"/>
        <v>0</v>
      </c>
      <c r="G70" s="15">
        <f t="shared" si="37"/>
        <v>0</v>
      </c>
      <c r="H70" s="15">
        <f t="shared" si="38"/>
        <v>1864.51</v>
      </c>
    </row>
    <row r="71" spans="1:8" ht="18" customHeight="1" x14ac:dyDescent="0.25">
      <c r="A71" s="8" t="s">
        <v>61</v>
      </c>
      <c r="B71" s="9">
        <f t="shared" ref="B71:H71" si="39">SUM(B66:B70)</f>
        <v>109299.9</v>
      </c>
      <c r="C71" s="9">
        <f t="shared" si="39"/>
        <v>1864.51</v>
      </c>
      <c r="D71" s="9">
        <f t="shared" si="39"/>
        <v>0</v>
      </c>
      <c r="E71" s="9">
        <f t="shared" si="39"/>
        <v>1864.51</v>
      </c>
      <c r="F71" s="9">
        <f t="shared" si="39"/>
        <v>109299.9</v>
      </c>
      <c r="G71" s="9">
        <f t="shared" si="39"/>
        <v>0</v>
      </c>
      <c r="H71" s="9">
        <f t="shared" si="39"/>
        <v>1864.51</v>
      </c>
    </row>
    <row r="72" spans="1:8" ht="14.25" customHeight="1" x14ac:dyDescent="0.25">
      <c r="B72" s="10"/>
      <c r="C72" s="10"/>
      <c r="D72" s="10"/>
      <c r="E72" s="10"/>
      <c r="F72" s="10"/>
      <c r="G72" s="10"/>
      <c r="H72" s="10"/>
    </row>
    <row r="73" spans="1:8" ht="18" customHeight="1" x14ac:dyDescent="0.25">
      <c r="A73" s="96" t="s">
        <v>62</v>
      </c>
      <c r="B73" s="94"/>
      <c r="C73" s="94"/>
      <c r="D73" s="94"/>
      <c r="E73" s="94"/>
      <c r="F73" s="94"/>
      <c r="G73" s="94"/>
      <c r="H73" s="95"/>
    </row>
    <row r="74" spans="1:8" ht="18" customHeight="1" x14ac:dyDescent="0.25">
      <c r="A74" s="3" t="s">
        <v>63</v>
      </c>
      <c r="B74" s="7">
        <v>25000</v>
      </c>
      <c r="C74" s="7"/>
      <c r="D74" s="7"/>
      <c r="E74" s="7">
        <f t="shared" ref="E74:E76" si="40">C74+D74</f>
        <v>0</v>
      </c>
      <c r="F74" s="7">
        <f t="shared" ref="F74:F76" si="41">IF(AND(B74&gt;0,B74&gt;E74),B74-E74,0)</f>
        <v>25000</v>
      </c>
      <c r="G74" s="7">
        <f t="shared" ref="G74:G76" si="42">IF(AND(B74&gt;0,B74&lt;E74),B74-E74,0)</f>
        <v>0</v>
      </c>
      <c r="H74" s="7">
        <f t="shared" ref="H74:H76" si="43">IF(AND(B74=0,B74&lt;E74),E74-B74,0)</f>
        <v>0</v>
      </c>
    </row>
    <row r="75" spans="1:8" ht="18" customHeight="1" x14ac:dyDescent="0.25">
      <c r="A75" s="11" t="s">
        <v>64</v>
      </c>
      <c r="B75" s="12">
        <v>20000</v>
      </c>
      <c r="C75" s="12"/>
      <c r="D75" s="12"/>
      <c r="E75" s="12">
        <f t="shared" si="40"/>
        <v>0</v>
      </c>
      <c r="F75" s="12">
        <f t="shared" si="41"/>
        <v>20000</v>
      </c>
      <c r="G75" s="12">
        <f t="shared" si="42"/>
        <v>0</v>
      </c>
      <c r="H75" s="12">
        <f t="shared" si="43"/>
        <v>0</v>
      </c>
    </row>
    <row r="76" spans="1:8" ht="18" customHeight="1" x14ac:dyDescent="0.25">
      <c r="A76" s="3" t="s">
        <v>26</v>
      </c>
      <c r="B76" s="7">
        <v>4000</v>
      </c>
      <c r="C76" s="7"/>
      <c r="D76" s="7"/>
      <c r="E76" s="7">
        <f t="shared" si="40"/>
        <v>0</v>
      </c>
      <c r="F76" s="7">
        <f t="shared" si="41"/>
        <v>4000</v>
      </c>
      <c r="G76" s="7">
        <f t="shared" si="42"/>
        <v>0</v>
      </c>
      <c r="H76" s="7">
        <f t="shared" si="43"/>
        <v>0</v>
      </c>
    </row>
    <row r="77" spans="1:8" ht="18" customHeight="1" x14ac:dyDescent="0.25">
      <c r="A77" s="8" t="s">
        <v>65</v>
      </c>
      <c r="B77" s="9">
        <f t="shared" ref="B77:H77" si="44">SUM(B74:B76)</f>
        <v>49000</v>
      </c>
      <c r="C77" s="9">
        <f t="shared" si="44"/>
        <v>0</v>
      </c>
      <c r="D77" s="9">
        <f t="shared" si="44"/>
        <v>0</v>
      </c>
      <c r="E77" s="9">
        <f t="shared" si="44"/>
        <v>0</v>
      </c>
      <c r="F77" s="9">
        <f t="shared" si="44"/>
        <v>49000</v>
      </c>
      <c r="G77" s="9">
        <f t="shared" si="44"/>
        <v>0</v>
      </c>
      <c r="H77" s="9">
        <f t="shared" si="44"/>
        <v>0</v>
      </c>
    </row>
    <row r="78" spans="1:8" ht="14.25" customHeight="1" x14ac:dyDescent="0.25">
      <c r="B78" s="10"/>
      <c r="C78" s="10"/>
      <c r="D78" s="10"/>
      <c r="E78" s="10"/>
      <c r="F78" s="10"/>
      <c r="G78" s="10"/>
      <c r="H78" s="10"/>
    </row>
    <row r="79" spans="1:8" ht="18" customHeight="1" x14ac:dyDescent="0.25">
      <c r="A79" s="96" t="s">
        <v>66</v>
      </c>
      <c r="B79" s="94"/>
      <c r="C79" s="94"/>
      <c r="D79" s="94"/>
      <c r="E79" s="94"/>
      <c r="F79" s="94"/>
      <c r="G79" s="94"/>
      <c r="H79" s="95"/>
    </row>
    <row r="80" spans="1:8" ht="18" customHeight="1" x14ac:dyDescent="0.25">
      <c r="A80" s="3" t="s">
        <v>67</v>
      </c>
      <c r="B80" s="7">
        <v>31444</v>
      </c>
      <c r="C80" s="7"/>
      <c r="D80" s="7"/>
      <c r="E80" s="7">
        <f t="shared" ref="E80:E84" si="45">C80+D80</f>
        <v>0</v>
      </c>
      <c r="F80" s="7">
        <f t="shared" ref="F80:F84" si="46">IF(AND(B80&gt;0,B80&gt;E80),B80-E80,0)</f>
        <v>31444</v>
      </c>
      <c r="G80" s="7">
        <f t="shared" ref="G80:G84" si="47">IF(AND(B80&gt;0,B80&lt;E80),B80-E80,0)</f>
        <v>0</v>
      </c>
      <c r="H80" s="7">
        <f t="shared" ref="H80:H84" si="48">IF(AND(B80=0,B80&lt;E80),E80-B80,0)</f>
        <v>0</v>
      </c>
    </row>
    <row r="81" spans="1:8" ht="18" customHeight="1" x14ac:dyDescent="0.25">
      <c r="A81" s="11" t="s">
        <v>68</v>
      </c>
      <c r="B81" s="12">
        <v>7399</v>
      </c>
      <c r="C81" s="12"/>
      <c r="D81" s="12"/>
      <c r="E81" s="12">
        <f t="shared" si="45"/>
        <v>0</v>
      </c>
      <c r="F81" s="12">
        <f t="shared" si="46"/>
        <v>7399</v>
      </c>
      <c r="G81" s="12">
        <f t="shared" si="47"/>
        <v>0</v>
      </c>
      <c r="H81" s="12">
        <f t="shared" si="48"/>
        <v>0</v>
      </c>
    </row>
    <row r="82" spans="1:8" ht="18" customHeight="1" x14ac:dyDescent="0.25">
      <c r="A82" s="3" t="s">
        <v>69</v>
      </c>
      <c r="B82" s="7">
        <v>550</v>
      </c>
      <c r="C82" s="7"/>
      <c r="D82" s="7"/>
      <c r="E82" s="7">
        <f t="shared" si="45"/>
        <v>0</v>
      </c>
      <c r="F82" s="7">
        <f t="shared" si="46"/>
        <v>550</v>
      </c>
      <c r="G82" s="7">
        <f t="shared" si="47"/>
        <v>0</v>
      </c>
      <c r="H82" s="7">
        <f t="shared" si="48"/>
        <v>0</v>
      </c>
    </row>
    <row r="83" spans="1:8" ht="18" customHeight="1" x14ac:dyDescent="0.25">
      <c r="A83" s="11" t="s">
        <v>70</v>
      </c>
      <c r="B83" s="12">
        <v>550</v>
      </c>
      <c r="C83" s="12"/>
      <c r="D83" s="12"/>
      <c r="E83" s="12">
        <f t="shared" si="45"/>
        <v>0</v>
      </c>
      <c r="F83" s="12">
        <f t="shared" si="46"/>
        <v>550</v>
      </c>
      <c r="G83" s="12">
        <f t="shared" si="47"/>
        <v>0</v>
      </c>
      <c r="H83" s="12">
        <f t="shared" si="48"/>
        <v>0</v>
      </c>
    </row>
    <row r="84" spans="1:8" ht="18" customHeight="1" x14ac:dyDescent="0.25">
      <c r="A84" s="3" t="s">
        <v>26</v>
      </c>
      <c r="B84" s="7">
        <v>3994.3</v>
      </c>
      <c r="C84" s="7"/>
      <c r="D84" s="7"/>
      <c r="E84" s="7">
        <f t="shared" si="45"/>
        <v>0</v>
      </c>
      <c r="F84" s="7">
        <f t="shared" si="46"/>
        <v>3994.3</v>
      </c>
      <c r="G84" s="7">
        <f t="shared" si="47"/>
        <v>0</v>
      </c>
      <c r="H84" s="7">
        <f t="shared" si="48"/>
        <v>0</v>
      </c>
    </row>
    <row r="85" spans="1:8" ht="18" customHeight="1" x14ac:dyDescent="0.25">
      <c r="A85" s="8" t="s">
        <v>71</v>
      </c>
      <c r="B85" s="9">
        <f t="shared" ref="B85:H85" si="49">SUM(B80:B84)</f>
        <v>43937.3</v>
      </c>
      <c r="C85" s="9">
        <f t="shared" si="49"/>
        <v>0</v>
      </c>
      <c r="D85" s="9">
        <f t="shared" si="49"/>
        <v>0</v>
      </c>
      <c r="E85" s="9">
        <f t="shared" si="49"/>
        <v>0</v>
      </c>
      <c r="F85" s="9">
        <f t="shared" si="49"/>
        <v>43937.3</v>
      </c>
      <c r="G85" s="9">
        <f t="shared" si="49"/>
        <v>0</v>
      </c>
      <c r="H85" s="9">
        <f t="shared" si="49"/>
        <v>0</v>
      </c>
    </row>
    <row r="86" spans="1:8" ht="14.25" customHeight="1" x14ac:dyDescent="0.25">
      <c r="B86" s="10"/>
      <c r="C86" s="10"/>
      <c r="D86" s="10"/>
      <c r="E86" s="10"/>
      <c r="F86" s="10"/>
      <c r="G86" s="10"/>
      <c r="H86" s="10"/>
    </row>
    <row r="87" spans="1:8" ht="18" customHeight="1" x14ac:dyDescent="0.25">
      <c r="A87" s="96" t="s">
        <v>72</v>
      </c>
      <c r="B87" s="94"/>
      <c r="C87" s="94"/>
      <c r="D87" s="94"/>
      <c r="E87" s="94"/>
      <c r="F87" s="94"/>
      <c r="G87" s="94"/>
      <c r="H87" s="95"/>
    </row>
    <row r="88" spans="1:8" ht="18" customHeight="1" x14ac:dyDescent="0.25">
      <c r="A88" s="3" t="s">
        <v>73</v>
      </c>
      <c r="B88" s="7">
        <v>63000</v>
      </c>
      <c r="C88" s="7"/>
      <c r="D88" s="7"/>
      <c r="E88" s="7">
        <f t="shared" ref="E88:E90" si="50">C88+D88</f>
        <v>0</v>
      </c>
      <c r="F88" s="7">
        <f t="shared" ref="F88:F90" si="51">IF(AND(B88&gt;0,B88&gt;E88),B88-E88,0)</f>
        <v>63000</v>
      </c>
      <c r="G88" s="7">
        <f t="shared" ref="G88:G90" si="52">IF(AND(B88&gt;0,B88&lt;E88),B88-E88,0)</f>
        <v>0</v>
      </c>
      <c r="H88" s="7">
        <f t="shared" ref="H88:H90" si="53">IF(AND(B88=0,B88&lt;E88),E88-B88,0)</f>
        <v>0</v>
      </c>
    </row>
    <row r="89" spans="1:8" ht="18" customHeight="1" x14ac:dyDescent="0.25">
      <c r="A89" s="11" t="s">
        <v>74</v>
      </c>
      <c r="B89" s="12">
        <v>30000</v>
      </c>
      <c r="C89" s="12"/>
      <c r="D89" s="12"/>
      <c r="E89" s="12">
        <f t="shared" si="50"/>
        <v>0</v>
      </c>
      <c r="F89" s="12">
        <f t="shared" si="51"/>
        <v>30000</v>
      </c>
      <c r="G89" s="12">
        <f t="shared" si="52"/>
        <v>0</v>
      </c>
      <c r="H89" s="12">
        <f t="shared" si="53"/>
        <v>0</v>
      </c>
    </row>
    <row r="90" spans="1:8" ht="18" customHeight="1" x14ac:dyDescent="0.25">
      <c r="A90" s="3" t="s">
        <v>26</v>
      </c>
      <c r="B90" s="7">
        <v>5000</v>
      </c>
      <c r="C90" s="7"/>
      <c r="D90" s="7"/>
      <c r="E90" s="7">
        <f t="shared" si="50"/>
        <v>0</v>
      </c>
      <c r="F90" s="7">
        <f t="shared" si="51"/>
        <v>5000</v>
      </c>
      <c r="G90" s="7">
        <f t="shared" si="52"/>
        <v>0</v>
      </c>
      <c r="H90" s="7">
        <f t="shared" si="53"/>
        <v>0</v>
      </c>
    </row>
    <row r="91" spans="1:8" ht="18" customHeight="1" x14ac:dyDescent="0.25">
      <c r="A91" s="8" t="s">
        <v>75</v>
      </c>
      <c r="B91" s="9">
        <f t="shared" ref="B91:H91" si="54">SUM(B88:B90)</f>
        <v>98000</v>
      </c>
      <c r="C91" s="9">
        <f t="shared" si="54"/>
        <v>0</v>
      </c>
      <c r="D91" s="9">
        <f t="shared" si="54"/>
        <v>0</v>
      </c>
      <c r="E91" s="9">
        <f t="shared" si="54"/>
        <v>0</v>
      </c>
      <c r="F91" s="9">
        <f t="shared" si="54"/>
        <v>98000</v>
      </c>
      <c r="G91" s="9">
        <f t="shared" si="54"/>
        <v>0</v>
      </c>
      <c r="H91" s="9">
        <f t="shared" si="54"/>
        <v>0</v>
      </c>
    </row>
    <row r="92" spans="1:8" ht="14.25" customHeight="1" x14ac:dyDescent="0.25">
      <c r="B92" s="10"/>
      <c r="C92" s="10"/>
      <c r="D92" s="10"/>
      <c r="E92" s="10"/>
      <c r="F92" s="10"/>
      <c r="G92" s="10"/>
      <c r="H92" s="10"/>
    </row>
    <row r="93" spans="1:8" ht="18" customHeight="1" x14ac:dyDescent="0.25">
      <c r="A93" s="96" t="s">
        <v>76</v>
      </c>
      <c r="B93" s="94"/>
      <c r="C93" s="94"/>
      <c r="D93" s="94"/>
      <c r="E93" s="94"/>
      <c r="F93" s="94"/>
      <c r="G93" s="94"/>
      <c r="H93" s="95"/>
    </row>
    <row r="94" spans="1:8" ht="18" customHeight="1" x14ac:dyDescent="0.25">
      <c r="A94" s="3" t="s">
        <v>77</v>
      </c>
      <c r="B94" s="7">
        <v>32327.53</v>
      </c>
      <c r="C94" s="7"/>
      <c r="D94" s="7"/>
      <c r="E94" s="7">
        <f t="shared" ref="E94:E96" si="55">C94+D94</f>
        <v>0</v>
      </c>
      <c r="F94" s="7">
        <f t="shared" ref="F94:F96" si="56">IF(AND(B94&gt;0,B94&gt;E94),B94-E94,0)</f>
        <v>32327.53</v>
      </c>
      <c r="G94" s="7">
        <f t="shared" ref="G94:G96" si="57">IF(AND(B94&gt;0,B94&lt;E94),B94-E94,0)</f>
        <v>0</v>
      </c>
      <c r="H94" s="7">
        <f t="shared" ref="H94:H96" si="58">IF(AND(B94=0,B94&lt;E94),E94-B94,0)</f>
        <v>0</v>
      </c>
    </row>
    <row r="95" spans="1:8" ht="18" customHeight="1" x14ac:dyDescent="0.25">
      <c r="A95" s="11" t="s">
        <v>78</v>
      </c>
      <c r="B95" s="12">
        <v>37713.67</v>
      </c>
      <c r="C95" s="12"/>
      <c r="D95" s="12"/>
      <c r="E95" s="12">
        <f t="shared" si="55"/>
        <v>0</v>
      </c>
      <c r="F95" s="12">
        <f t="shared" si="56"/>
        <v>37713.67</v>
      </c>
      <c r="G95" s="12">
        <f t="shared" si="57"/>
        <v>0</v>
      </c>
      <c r="H95" s="12">
        <f t="shared" si="58"/>
        <v>0</v>
      </c>
    </row>
    <row r="96" spans="1:8" ht="18" customHeight="1" x14ac:dyDescent="0.25">
      <c r="A96" s="3" t="s">
        <v>26</v>
      </c>
      <c r="B96" s="7">
        <v>7004</v>
      </c>
      <c r="C96" s="7"/>
      <c r="D96" s="7"/>
      <c r="E96" s="7">
        <f t="shared" si="55"/>
        <v>0</v>
      </c>
      <c r="F96" s="7">
        <f t="shared" si="56"/>
        <v>7004</v>
      </c>
      <c r="G96" s="7">
        <f t="shared" si="57"/>
        <v>0</v>
      </c>
      <c r="H96" s="7">
        <f t="shared" si="58"/>
        <v>0</v>
      </c>
    </row>
    <row r="97" spans="1:8" ht="18" customHeight="1" x14ac:dyDescent="0.25">
      <c r="A97" s="8" t="s">
        <v>79</v>
      </c>
      <c r="B97" s="9">
        <f t="shared" ref="B97:H97" si="59">SUM(B94:B96)</f>
        <v>77045.2</v>
      </c>
      <c r="C97" s="9">
        <f t="shared" si="59"/>
        <v>0</v>
      </c>
      <c r="D97" s="9">
        <f t="shared" si="59"/>
        <v>0</v>
      </c>
      <c r="E97" s="9">
        <f t="shared" si="59"/>
        <v>0</v>
      </c>
      <c r="F97" s="9">
        <f t="shared" si="59"/>
        <v>77045.2</v>
      </c>
      <c r="G97" s="9">
        <f t="shared" si="59"/>
        <v>0</v>
      </c>
      <c r="H97" s="9">
        <f t="shared" si="59"/>
        <v>0</v>
      </c>
    </row>
    <row r="98" spans="1:8" ht="14.25" customHeight="1" x14ac:dyDescent="0.25">
      <c r="B98" s="10"/>
      <c r="C98" s="10"/>
      <c r="D98" s="10"/>
      <c r="E98" s="10"/>
      <c r="F98" s="10"/>
      <c r="G98" s="10"/>
      <c r="H98" s="10"/>
    </row>
    <row r="99" spans="1:8" ht="18" customHeight="1" x14ac:dyDescent="0.25">
      <c r="A99" s="96" t="s">
        <v>80</v>
      </c>
      <c r="B99" s="94"/>
      <c r="C99" s="94"/>
      <c r="D99" s="94"/>
      <c r="E99" s="94"/>
      <c r="F99" s="94"/>
      <c r="G99" s="94"/>
      <c r="H99" s="95"/>
    </row>
    <row r="100" spans="1:8" ht="18" customHeight="1" x14ac:dyDescent="0.25">
      <c r="A100" s="3" t="s">
        <v>81</v>
      </c>
      <c r="B100" s="7">
        <v>20790</v>
      </c>
      <c r="C100" s="7"/>
      <c r="D100" s="7"/>
      <c r="E100" s="7">
        <f t="shared" ref="E100:E105" si="60">C100+D100</f>
        <v>0</v>
      </c>
      <c r="F100" s="7">
        <f t="shared" ref="F100:F105" si="61">IF(AND(B100&gt;0,B100&gt;E100),B100-E100,0)</f>
        <v>20790</v>
      </c>
      <c r="G100" s="7">
        <f t="shared" ref="G100:G105" si="62">IF(AND(B100&gt;0,B100&lt;E100),B100-E100,0)</f>
        <v>0</v>
      </c>
      <c r="H100" s="7">
        <f t="shared" ref="H100:H105" si="63">IF(AND(B100=0,B100&lt;E100),E100-B100,0)</f>
        <v>0</v>
      </c>
    </row>
    <row r="101" spans="1:8" ht="18" customHeight="1" x14ac:dyDescent="0.25">
      <c r="A101" s="11" t="s">
        <v>82</v>
      </c>
      <c r="B101" s="12">
        <v>35878.129999999997</v>
      </c>
      <c r="C101" s="12"/>
      <c r="D101" s="12"/>
      <c r="E101" s="12">
        <f t="shared" si="60"/>
        <v>0</v>
      </c>
      <c r="F101" s="12">
        <f t="shared" si="61"/>
        <v>35878.129999999997</v>
      </c>
      <c r="G101" s="12">
        <f t="shared" si="62"/>
        <v>0</v>
      </c>
      <c r="H101" s="12">
        <f t="shared" si="63"/>
        <v>0</v>
      </c>
    </row>
    <row r="102" spans="1:8" ht="18" customHeight="1" x14ac:dyDescent="0.25">
      <c r="A102" s="3" t="s">
        <v>83</v>
      </c>
      <c r="B102" s="7">
        <v>5800</v>
      </c>
      <c r="C102" s="7"/>
      <c r="D102" s="7"/>
      <c r="E102" s="7">
        <f t="shared" si="60"/>
        <v>0</v>
      </c>
      <c r="F102" s="7">
        <f t="shared" si="61"/>
        <v>5800</v>
      </c>
      <c r="G102" s="7">
        <f t="shared" si="62"/>
        <v>0</v>
      </c>
      <c r="H102" s="7">
        <f t="shared" si="63"/>
        <v>0</v>
      </c>
    </row>
    <row r="103" spans="1:8" ht="18" customHeight="1" x14ac:dyDescent="0.25">
      <c r="A103" s="11" t="s">
        <v>84</v>
      </c>
      <c r="B103" s="12">
        <v>3948</v>
      </c>
      <c r="C103" s="12"/>
      <c r="D103" s="12"/>
      <c r="E103" s="12">
        <f t="shared" si="60"/>
        <v>0</v>
      </c>
      <c r="F103" s="12">
        <f t="shared" si="61"/>
        <v>3948</v>
      </c>
      <c r="G103" s="12">
        <f t="shared" si="62"/>
        <v>0</v>
      </c>
      <c r="H103" s="12">
        <f t="shared" si="63"/>
        <v>0</v>
      </c>
    </row>
    <row r="104" spans="1:8" ht="18" customHeight="1" x14ac:dyDescent="0.25">
      <c r="A104" s="3" t="s">
        <v>85</v>
      </c>
      <c r="B104" s="7">
        <v>5370</v>
      </c>
      <c r="C104" s="7"/>
      <c r="D104" s="7"/>
      <c r="E104" s="7">
        <f t="shared" si="60"/>
        <v>0</v>
      </c>
      <c r="F104" s="7">
        <f t="shared" si="61"/>
        <v>5370</v>
      </c>
      <c r="G104" s="7">
        <f t="shared" si="62"/>
        <v>0</v>
      </c>
      <c r="H104" s="7">
        <f t="shared" si="63"/>
        <v>0</v>
      </c>
    </row>
    <row r="105" spans="1:8" ht="18" customHeight="1" x14ac:dyDescent="0.25">
      <c r="A105" s="11" t="s">
        <v>26</v>
      </c>
      <c r="B105" s="12">
        <v>5381.71</v>
      </c>
      <c r="C105" s="12"/>
      <c r="D105" s="12"/>
      <c r="E105" s="12">
        <f t="shared" si="60"/>
        <v>0</v>
      </c>
      <c r="F105" s="12">
        <f t="shared" si="61"/>
        <v>5381.71</v>
      </c>
      <c r="G105" s="12">
        <f t="shared" si="62"/>
        <v>0</v>
      </c>
      <c r="H105" s="12">
        <f t="shared" si="63"/>
        <v>0</v>
      </c>
    </row>
    <row r="106" spans="1:8" ht="18" customHeight="1" x14ac:dyDescent="0.25">
      <c r="A106" s="8" t="s">
        <v>86</v>
      </c>
      <c r="B106" s="9">
        <f t="shared" ref="B106:H106" si="64">SUM(B100:B105)</f>
        <v>77167.840000000011</v>
      </c>
      <c r="C106" s="9">
        <f t="shared" si="64"/>
        <v>0</v>
      </c>
      <c r="D106" s="9">
        <f t="shared" si="64"/>
        <v>0</v>
      </c>
      <c r="E106" s="9">
        <f t="shared" si="64"/>
        <v>0</v>
      </c>
      <c r="F106" s="9">
        <f t="shared" si="64"/>
        <v>77167.840000000011</v>
      </c>
      <c r="G106" s="9">
        <f t="shared" si="64"/>
        <v>0</v>
      </c>
      <c r="H106" s="9">
        <f t="shared" si="64"/>
        <v>0</v>
      </c>
    </row>
    <row r="107" spans="1:8" ht="14.25" customHeight="1" x14ac:dyDescent="0.25">
      <c r="B107" s="10"/>
      <c r="C107" s="10"/>
      <c r="D107" s="10"/>
      <c r="E107" s="10"/>
      <c r="F107" s="10"/>
      <c r="G107" s="10"/>
      <c r="H107" s="10"/>
    </row>
    <row r="108" spans="1:8" ht="18" customHeight="1" x14ac:dyDescent="0.25">
      <c r="A108" s="96" t="s">
        <v>87</v>
      </c>
      <c r="B108" s="94"/>
      <c r="C108" s="94"/>
      <c r="D108" s="94"/>
      <c r="E108" s="94"/>
      <c r="F108" s="94"/>
      <c r="G108" s="94"/>
      <c r="H108" s="95"/>
    </row>
    <row r="109" spans="1:8" ht="18" customHeight="1" x14ac:dyDescent="0.25">
      <c r="A109" s="3" t="s">
        <v>88</v>
      </c>
      <c r="B109" s="7">
        <v>10400</v>
      </c>
      <c r="C109" s="7"/>
      <c r="D109" s="7"/>
      <c r="E109" s="7">
        <f t="shared" ref="E109:E110" si="65">C109+D109</f>
        <v>0</v>
      </c>
      <c r="F109" s="7">
        <f t="shared" ref="F109:F110" si="66">IF(AND(B109&gt;0,B109&gt;E109),B109-E109,0)</f>
        <v>10400</v>
      </c>
      <c r="G109" s="7">
        <f t="shared" ref="G109:G110" si="67">IF(AND(B109&gt;0,B109&lt;E109),B109-E109,0)</f>
        <v>0</v>
      </c>
      <c r="H109" s="7">
        <f t="shared" ref="H109:H110" si="68">IF(AND(B109=0,B109&lt;E109),E109-B109,0)</f>
        <v>0</v>
      </c>
    </row>
    <row r="110" spans="1:8" ht="18" customHeight="1" x14ac:dyDescent="0.25">
      <c r="A110" s="11" t="s">
        <v>26</v>
      </c>
      <c r="B110" s="12">
        <v>1040</v>
      </c>
      <c r="C110" s="12"/>
      <c r="D110" s="12"/>
      <c r="E110" s="12">
        <f t="shared" si="65"/>
        <v>0</v>
      </c>
      <c r="F110" s="12">
        <f t="shared" si="66"/>
        <v>1040</v>
      </c>
      <c r="G110" s="12">
        <f t="shared" si="67"/>
        <v>0</v>
      </c>
      <c r="H110" s="12">
        <f t="shared" si="68"/>
        <v>0</v>
      </c>
    </row>
    <row r="111" spans="1:8" ht="18" customHeight="1" x14ac:dyDescent="0.25">
      <c r="A111" s="8" t="s">
        <v>89</v>
      </c>
      <c r="B111" s="9">
        <f t="shared" ref="B111:H111" si="69">SUM(B109:B110)</f>
        <v>11440</v>
      </c>
      <c r="C111" s="9">
        <f t="shared" si="69"/>
        <v>0</v>
      </c>
      <c r="D111" s="9">
        <f t="shared" si="69"/>
        <v>0</v>
      </c>
      <c r="E111" s="9">
        <f t="shared" si="69"/>
        <v>0</v>
      </c>
      <c r="F111" s="9">
        <f t="shared" si="69"/>
        <v>11440</v>
      </c>
      <c r="G111" s="9">
        <f t="shared" si="69"/>
        <v>0</v>
      </c>
      <c r="H111" s="9">
        <f t="shared" si="69"/>
        <v>0</v>
      </c>
    </row>
    <row r="112" spans="1:8" ht="14.25" customHeight="1" x14ac:dyDescent="0.25">
      <c r="B112" s="10"/>
      <c r="C112" s="10"/>
      <c r="D112" s="10"/>
      <c r="E112" s="10"/>
      <c r="F112" s="10"/>
      <c r="G112" s="10"/>
      <c r="H112" s="10"/>
    </row>
    <row r="113" spans="1:8" ht="18" customHeight="1" x14ac:dyDescent="0.25">
      <c r="A113" s="96" t="s">
        <v>90</v>
      </c>
      <c r="B113" s="94"/>
      <c r="C113" s="94"/>
      <c r="D113" s="94"/>
      <c r="E113" s="94"/>
      <c r="F113" s="94"/>
      <c r="G113" s="94"/>
      <c r="H113" s="95"/>
    </row>
    <row r="114" spans="1:8" ht="18" customHeight="1" x14ac:dyDescent="0.25">
      <c r="A114" s="3" t="s">
        <v>91</v>
      </c>
      <c r="B114" s="7">
        <v>36980</v>
      </c>
      <c r="C114" s="7"/>
      <c r="D114" s="7"/>
      <c r="E114" s="7">
        <f t="shared" ref="E114:E117" si="70">C114+D114</f>
        <v>0</v>
      </c>
      <c r="F114" s="7">
        <f t="shared" ref="F114:F117" si="71">IF(AND(B114&gt;0,B114&gt;E114),B114-E114,0)</f>
        <v>36980</v>
      </c>
      <c r="G114" s="7">
        <f t="shared" ref="G114:G117" si="72">IF(AND(B114&gt;0,B114&lt;E114),B114-E114,0)</f>
        <v>0</v>
      </c>
      <c r="H114" s="7">
        <f t="shared" ref="H114:H117" si="73">IF(AND(B114=0,B114&lt;E114),E114-B114,0)</f>
        <v>0</v>
      </c>
    </row>
    <row r="115" spans="1:8" ht="18" customHeight="1" x14ac:dyDescent="0.25">
      <c r="A115" s="11" t="s">
        <v>92</v>
      </c>
      <c r="B115" s="12">
        <v>10380</v>
      </c>
      <c r="C115" s="12"/>
      <c r="D115" s="12"/>
      <c r="E115" s="12">
        <f t="shared" si="70"/>
        <v>0</v>
      </c>
      <c r="F115" s="12">
        <f t="shared" si="71"/>
        <v>10380</v>
      </c>
      <c r="G115" s="12">
        <f t="shared" si="72"/>
        <v>0</v>
      </c>
      <c r="H115" s="12">
        <f t="shared" si="73"/>
        <v>0</v>
      </c>
    </row>
    <row r="116" spans="1:8" ht="18" customHeight="1" x14ac:dyDescent="0.25">
      <c r="A116" s="3" t="s">
        <v>93</v>
      </c>
      <c r="B116" s="7">
        <v>6020</v>
      </c>
      <c r="C116" s="7"/>
      <c r="D116" s="7"/>
      <c r="E116" s="7">
        <f t="shared" si="70"/>
        <v>0</v>
      </c>
      <c r="F116" s="7">
        <f t="shared" si="71"/>
        <v>6020</v>
      </c>
      <c r="G116" s="7">
        <f t="shared" si="72"/>
        <v>0</v>
      </c>
      <c r="H116" s="7">
        <f t="shared" si="73"/>
        <v>0</v>
      </c>
    </row>
    <row r="117" spans="1:8" ht="18" customHeight="1" x14ac:dyDescent="0.25">
      <c r="A117" s="11" t="s">
        <v>26</v>
      </c>
      <c r="B117" s="12">
        <v>5338</v>
      </c>
      <c r="C117" s="12"/>
      <c r="D117" s="12"/>
      <c r="E117" s="12">
        <f t="shared" si="70"/>
        <v>0</v>
      </c>
      <c r="F117" s="12">
        <f t="shared" si="71"/>
        <v>5338</v>
      </c>
      <c r="G117" s="12">
        <f t="shared" si="72"/>
        <v>0</v>
      </c>
      <c r="H117" s="12">
        <f t="shared" si="73"/>
        <v>0</v>
      </c>
    </row>
    <row r="118" spans="1:8" ht="18" customHeight="1" x14ac:dyDescent="0.25">
      <c r="A118" s="8" t="s">
        <v>94</v>
      </c>
      <c r="B118" s="9">
        <f t="shared" ref="B118:H118" si="74">SUM(B114:B117)</f>
        <v>58718</v>
      </c>
      <c r="C118" s="9">
        <f t="shared" si="74"/>
        <v>0</v>
      </c>
      <c r="D118" s="9">
        <f t="shared" si="74"/>
        <v>0</v>
      </c>
      <c r="E118" s="9">
        <f t="shared" si="74"/>
        <v>0</v>
      </c>
      <c r="F118" s="9">
        <f t="shared" si="74"/>
        <v>58718</v>
      </c>
      <c r="G118" s="9">
        <f t="shared" si="74"/>
        <v>0</v>
      </c>
      <c r="H118" s="9">
        <f t="shared" si="74"/>
        <v>0</v>
      </c>
    </row>
    <row r="119" spans="1:8" ht="14.25" customHeight="1" x14ac:dyDescent="0.25">
      <c r="B119" s="10"/>
      <c r="C119" s="10"/>
      <c r="D119" s="10"/>
      <c r="E119" s="10"/>
      <c r="F119" s="10"/>
      <c r="G119" s="10"/>
      <c r="H119" s="10"/>
    </row>
    <row r="120" spans="1:8" ht="18" customHeight="1" x14ac:dyDescent="0.25">
      <c r="A120" s="96" t="s">
        <v>95</v>
      </c>
      <c r="B120" s="94"/>
      <c r="C120" s="94"/>
      <c r="D120" s="94"/>
      <c r="E120" s="94"/>
      <c r="F120" s="94"/>
      <c r="G120" s="94"/>
      <c r="H120" s="95"/>
    </row>
    <row r="121" spans="1:8" ht="18" customHeight="1" x14ac:dyDescent="0.25">
      <c r="A121" s="3" t="s">
        <v>96</v>
      </c>
      <c r="B121" s="7">
        <v>18000</v>
      </c>
      <c r="C121" s="7"/>
      <c r="D121" s="7"/>
      <c r="E121" s="7">
        <f t="shared" ref="E121:E130" si="75">C121+D121</f>
        <v>0</v>
      </c>
      <c r="F121" s="7">
        <f t="shared" ref="F121:F130" si="76">IF(AND(B121&gt;0,B121&gt;E121),B121-E121,0)</f>
        <v>18000</v>
      </c>
      <c r="G121" s="7">
        <f t="shared" ref="G121:G130" si="77">IF(AND(B121&gt;0,B121&lt;E121),B121-E121,0)</f>
        <v>0</v>
      </c>
      <c r="H121" s="7">
        <f t="shared" ref="H121:H130" si="78">IF(AND(B121=0,B121&lt;E121),E121-B121,0)</f>
        <v>0</v>
      </c>
    </row>
    <row r="122" spans="1:8" ht="18" customHeight="1" x14ac:dyDescent="0.25">
      <c r="A122" s="11" t="s">
        <v>97</v>
      </c>
      <c r="B122" s="12">
        <v>13413.68</v>
      </c>
      <c r="C122" s="12"/>
      <c r="D122" s="12"/>
      <c r="E122" s="12">
        <f t="shared" si="75"/>
        <v>0</v>
      </c>
      <c r="F122" s="12">
        <f t="shared" si="76"/>
        <v>13413.68</v>
      </c>
      <c r="G122" s="12">
        <f t="shared" si="77"/>
        <v>0</v>
      </c>
      <c r="H122" s="12">
        <f t="shared" si="78"/>
        <v>0</v>
      </c>
    </row>
    <row r="123" spans="1:8" ht="18" customHeight="1" x14ac:dyDescent="0.25">
      <c r="A123" s="3" t="s">
        <v>98</v>
      </c>
      <c r="B123" s="7">
        <v>2400</v>
      </c>
      <c r="C123" s="7"/>
      <c r="D123" s="7"/>
      <c r="E123" s="7">
        <f t="shared" si="75"/>
        <v>0</v>
      </c>
      <c r="F123" s="7">
        <f t="shared" si="76"/>
        <v>2400</v>
      </c>
      <c r="G123" s="7">
        <f t="shared" si="77"/>
        <v>0</v>
      </c>
      <c r="H123" s="7">
        <f t="shared" si="78"/>
        <v>0</v>
      </c>
    </row>
    <row r="124" spans="1:8" ht="18" customHeight="1" x14ac:dyDescent="0.25">
      <c r="A124" s="11" t="s">
        <v>99</v>
      </c>
      <c r="B124" s="12">
        <v>500</v>
      </c>
      <c r="C124" s="12"/>
      <c r="D124" s="12"/>
      <c r="E124" s="12">
        <f t="shared" si="75"/>
        <v>0</v>
      </c>
      <c r="F124" s="12">
        <f t="shared" si="76"/>
        <v>500</v>
      </c>
      <c r="G124" s="12">
        <f t="shared" si="77"/>
        <v>0</v>
      </c>
      <c r="H124" s="12">
        <f t="shared" si="78"/>
        <v>0</v>
      </c>
    </row>
    <row r="125" spans="1:8" ht="18" customHeight="1" x14ac:dyDescent="0.25">
      <c r="A125" s="3" t="s">
        <v>100</v>
      </c>
      <c r="B125" s="7">
        <v>6500</v>
      </c>
      <c r="C125" s="7"/>
      <c r="D125" s="7"/>
      <c r="E125" s="7">
        <f t="shared" si="75"/>
        <v>0</v>
      </c>
      <c r="F125" s="7">
        <f t="shared" si="76"/>
        <v>6500</v>
      </c>
      <c r="G125" s="7">
        <f t="shared" si="77"/>
        <v>0</v>
      </c>
      <c r="H125" s="7">
        <f t="shared" si="78"/>
        <v>0</v>
      </c>
    </row>
    <row r="126" spans="1:8" ht="18" customHeight="1" x14ac:dyDescent="0.25">
      <c r="A126" s="11" t="s">
        <v>101</v>
      </c>
      <c r="B126" s="12">
        <v>1000</v>
      </c>
      <c r="C126" s="12"/>
      <c r="D126" s="12"/>
      <c r="E126" s="12">
        <f t="shared" si="75"/>
        <v>0</v>
      </c>
      <c r="F126" s="12">
        <f t="shared" si="76"/>
        <v>1000</v>
      </c>
      <c r="G126" s="12">
        <f t="shared" si="77"/>
        <v>0</v>
      </c>
      <c r="H126" s="12">
        <f t="shared" si="78"/>
        <v>0</v>
      </c>
    </row>
    <row r="127" spans="1:8" ht="18" customHeight="1" x14ac:dyDescent="0.25">
      <c r="A127" s="3" t="s">
        <v>102</v>
      </c>
      <c r="B127" s="7">
        <v>1200</v>
      </c>
      <c r="C127" s="7"/>
      <c r="D127" s="7"/>
      <c r="E127" s="7">
        <f t="shared" si="75"/>
        <v>0</v>
      </c>
      <c r="F127" s="7">
        <f t="shared" si="76"/>
        <v>1200</v>
      </c>
      <c r="G127" s="7">
        <f t="shared" si="77"/>
        <v>0</v>
      </c>
      <c r="H127" s="7">
        <f t="shared" si="78"/>
        <v>0</v>
      </c>
    </row>
    <row r="128" spans="1:8" ht="18" customHeight="1" x14ac:dyDescent="0.25">
      <c r="A128" s="11" t="s">
        <v>103</v>
      </c>
      <c r="B128" s="12">
        <v>4919.37</v>
      </c>
      <c r="C128" s="12"/>
      <c r="D128" s="12"/>
      <c r="E128" s="12">
        <f t="shared" si="75"/>
        <v>0</v>
      </c>
      <c r="F128" s="12">
        <f t="shared" si="76"/>
        <v>4919.37</v>
      </c>
      <c r="G128" s="12">
        <f t="shared" si="77"/>
        <v>0</v>
      </c>
      <c r="H128" s="12">
        <f t="shared" si="78"/>
        <v>0</v>
      </c>
    </row>
    <row r="129" spans="1:8" ht="18" customHeight="1" x14ac:dyDescent="0.25">
      <c r="A129" s="3" t="s">
        <v>104</v>
      </c>
      <c r="B129" s="7">
        <v>1067.5999999999999</v>
      </c>
      <c r="C129" s="7"/>
      <c r="D129" s="7"/>
      <c r="E129" s="7">
        <f t="shared" si="75"/>
        <v>0</v>
      </c>
      <c r="F129" s="7">
        <f t="shared" si="76"/>
        <v>1067.5999999999999</v>
      </c>
      <c r="G129" s="7">
        <f t="shared" si="77"/>
        <v>0</v>
      </c>
      <c r="H129" s="7">
        <f t="shared" si="78"/>
        <v>0</v>
      </c>
    </row>
    <row r="130" spans="1:8" ht="18" customHeight="1" x14ac:dyDescent="0.25">
      <c r="A130" s="11" t="s">
        <v>26</v>
      </c>
      <c r="B130" s="12">
        <v>3109.95</v>
      </c>
      <c r="C130" s="12"/>
      <c r="D130" s="12"/>
      <c r="E130" s="12">
        <f t="shared" si="75"/>
        <v>0</v>
      </c>
      <c r="F130" s="12">
        <f t="shared" si="76"/>
        <v>3109.95</v>
      </c>
      <c r="G130" s="12">
        <f t="shared" si="77"/>
        <v>0</v>
      </c>
      <c r="H130" s="12">
        <f t="shared" si="78"/>
        <v>0</v>
      </c>
    </row>
    <row r="131" spans="1:8" ht="18" customHeight="1" x14ac:dyDescent="0.25">
      <c r="A131" s="8" t="s">
        <v>105</v>
      </c>
      <c r="B131" s="9">
        <f t="shared" ref="B131:H131" si="79">SUM(B121:B130)</f>
        <v>52110.6</v>
      </c>
      <c r="C131" s="9">
        <f t="shared" si="79"/>
        <v>0</v>
      </c>
      <c r="D131" s="9">
        <f t="shared" si="79"/>
        <v>0</v>
      </c>
      <c r="E131" s="9">
        <f t="shared" si="79"/>
        <v>0</v>
      </c>
      <c r="F131" s="9">
        <f t="shared" si="79"/>
        <v>52110.6</v>
      </c>
      <c r="G131" s="9">
        <f t="shared" si="79"/>
        <v>0</v>
      </c>
      <c r="H131" s="9">
        <f t="shared" si="79"/>
        <v>0</v>
      </c>
    </row>
    <row r="132" spans="1:8" ht="14.25" customHeight="1" x14ac:dyDescent="0.25">
      <c r="B132" s="10"/>
      <c r="C132" s="10"/>
      <c r="D132" s="10"/>
      <c r="E132" s="10"/>
      <c r="F132" s="10"/>
      <c r="G132" s="10"/>
      <c r="H132" s="10"/>
    </row>
    <row r="133" spans="1:8" ht="18" customHeight="1" x14ac:dyDescent="0.25">
      <c r="A133" s="96" t="s">
        <v>106</v>
      </c>
      <c r="B133" s="94"/>
      <c r="C133" s="94"/>
      <c r="D133" s="94"/>
      <c r="E133" s="94"/>
      <c r="F133" s="94"/>
      <c r="G133" s="94"/>
      <c r="H133" s="95"/>
    </row>
    <row r="134" spans="1:8" ht="18" customHeight="1" x14ac:dyDescent="0.25">
      <c r="A134" s="3" t="s">
        <v>107</v>
      </c>
      <c r="B134" s="7">
        <v>7600</v>
      </c>
      <c r="C134" s="7"/>
      <c r="D134" s="7"/>
      <c r="E134" s="7">
        <f t="shared" ref="E134:E141" si="80">C134+D134</f>
        <v>0</v>
      </c>
      <c r="F134" s="7">
        <f t="shared" ref="F134:F141" si="81">IF(AND(B134&gt;0,B134&gt;E134),B134-E134,0)</f>
        <v>7600</v>
      </c>
      <c r="G134" s="7">
        <f t="shared" ref="G134:G141" si="82">IF(AND(B134&gt;0,B134&lt;E134),B134-E134,0)</f>
        <v>0</v>
      </c>
      <c r="H134" s="7">
        <f t="shared" ref="H134:H141" si="83">IF(AND(B134=0,B134&lt;E134),E134-B134,0)</f>
        <v>0</v>
      </c>
    </row>
    <row r="135" spans="1:8" ht="18" customHeight="1" x14ac:dyDescent="0.25">
      <c r="A135" s="11" t="s">
        <v>108</v>
      </c>
      <c r="B135" s="12">
        <v>5700</v>
      </c>
      <c r="C135" s="12"/>
      <c r="D135" s="12"/>
      <c r="E135" s="12">
        <f t="shared" si="80"/>
        <v>0</v>
      </c>
      <c r="F135" s="12">
        <f t="shared" si="81"/>
        <v>5700</v>
      </c>
      <c r="G135" s="12">
        <f t="shared" si="82"/>
        <v>0</v>
      </c>
      <c r="H135" s="12">
        <f t="shared" si="83"/>
        <v>0</v>
      </c>
    </row>
    <row r="136" spans="1:8" ht="18" customHeight="1" x14ac:dyDescent="0.25">
      <c r="A136" s="3" t="s">
        <v>109</v>
      </c>
      <c r="B136" s="7">
        <v>6000</v>
      </c>
      <c r="C136" s="7"/>
      <c r="D136" s="7"/>
      <c r="E136" s="7">
        <f t="shared" si="80"/>
        <v>0</v>
      </c>
      <c r="F136" s="7">
        <f t="shared" si="81"/>
        <v>6000</v>
      </c>
      <c r="G136" s="7">
        <f t="shared" si="82"/>
        <v>0</v>
      </c>
      <c r="H136" s="7">
        <f t="shared" si="83"/>
        <v>0</v>
      </c>
    </row>
    <row r="137" spans="1:8" ht="18" customHeight="1" x14ac:dyDescent="0.25">
      <c r="A137" s="11" t="s">
        <v>110</v>
      </c>
      <c r="B137" s="12">
        <v>500</v>
      </c>
      <c r="C137" s="12"/>
      <c r="D137" s="12"/>
      <c r="E137" s="12">
        <f t="shared" si="80"/>
        <v>0</v>
      </c>
      <c r="F137" s="12">
        <f t="shared" si="81"/>
        <v>500</v>
      </c>
      <c r="G137" s="12">
        <f t="shared" si="82"/>
        <v>0</v>
      </c>
      <c r="H137" s="12">
        <f t="shared" si="83"/>
        <v>0</v>
      </c>
    </row>
    <row r="138" spans="1:8" ht="18" customHeight="1" x14ac:dyDescent="0.25">
      <c r="A138" s="3" t="s">
        <v>111</v>
      </c>
      <c r="B138" s="7">
        <v>4800</v>
      </c>
      <c r="C138" s="7"/>
      <c r="D138" s="7"/>
      <c r="E138" s="7">
        <f t="shared" si="80"/>
        <v>0</v>
      </c>
      <c r="F138" s="7">
        <f t="shared" si="81"/>
        <v>4800</v>
      </c>
      <c r="G138" s="7">
        <f t="shared" si="82"/>
        <v>0</v>
      </c>
      <c r="H138" s="7">
        <f t="shared" si="83"/>
        <v>0</v>
      </c>
    </row>
    <row r="139" spans="1:8" ht="18" customHeight="1" x14ac:dyDescent="0.25">
      <c r="A139" s="11" t="s">
        <v>112</v>
      </c>
      <c r="B139" s="12">
        <v>9450</v>
      </c>
      <c r="C139" s="12"/>
      <c r="D139" s="12"/>
      <c r="E139" s="12">
        <f t="shared" si="80"/>
        <v>0</v>
      </c>
      <c r="F139" s="12">
        <f t="shared" si="81"/>
        <v>9450</v>
      </c>
      <c r="G139" s="12">
        <f t="shared" si="82"/>
        <v>0</v>
      </c>
      <c r="H139" s="12">
        <f t="shared" si="83"/>
        <v>0</v>
      </c>
    </row>
    <row r="140" spans="1:8" ht="18" customHeight="1" x14ac:dyDescent="0.25">
      <c r="A140" s="3" t="s">
        <v>113</v>
      </c>
      <c r="B140" s="7">
        <v>6750</v>
      </c>
      <c r="C140" s="7"/>
      <c r="D140" s="7"/>
      <c r="E140" s="7">
        <f t="shared" si="80"/>
        <v>0</v>
      </c>
      <c r="F140" s="7">
        <f t="shared" si="81"/>
        <v>6750</v>
      </c>
      <c r="G140" s="7">
        <f t="shared" si="82"/>
        <v>0</v>
      </c>
      <c r="H140" s="7">
        <f t="shared" si="83"/>
        <v>0</v>
      </c>
    </row>
    <row r="141" spans="1:8" ht="18" customHeight="1" x14ac:dyDescent="0.25">
      <c r="A141" s="11" t="s">
        <v>26</v>
      </c>
      <c r="B141" s="12">
        <v>1980</v>
      </c>
      <c r="C141" s="12"/>
      <c r="D141" s="12"/>
      <c r="E141" s="12">
        <f t="shared" si="80"/>
        <v>0</v>
      </c>
      <c r="F141" s="12">
        <f t="shared" si="81"/>
        <v>1980</v>
      </c>
      <c r="G141" s="12">
        <f t="shared" si="82"/>
        <v>0</v>
      </c>
      <c r="H141" s="12">
        <f t="shared" si="83"/>
        <v>0</v>
      </c>
    </row>
    <row r="142" spans="1:8" ht="18" customHeight="1" x14ac:dyDescent="0.25">
      <c r="A142" s="8" t="s">
        <v>114</v>
      </c>
      <c r="B142" s="9">
        <f t="shared" ref="B142:H142" si="84">SUM(B134:B141)</f>
        <v>42780</v>
      </c>
      <c r="C142" s="9">
        <f t="shared" si="84"/>
        <v>0</v>
      </c>
      <c r="D142" s="9">
        <f t="shared" si="84"/>
        <v>0</v>
      </c>
      <c r="E142" s="9">
        <f t="shared" si="84"/>
        <v>0</v>
      </c>
      <c r="F142" s="9">
        <f t="shared" si="84"/>
        <v>42780</v>
      </c>
      <c r="G142" s="9">
        <f t="shared" si="84"/>
        <v>0</v>
      </c>
      <c r="H142" s="9">
        <f t="shared" si="84"/>
        <v>0</v>
      </c>
    </row>
    <row r="143" spans="1:8" ht="14.25" customHeight="1" x14ac:dyDescent="0.25">
      <c r="B143" s="10"/>
      <c r="C143" s="10"/>
      <c r="D143" s="10"/>
      <c r="E143" s="10"/>
      <c r="F143" s="10"/>
      <c r="G143" s="10"/>
      <c r="H143" s="10"/>
    </row>
    <row r="144" spans="1:8" ht="18" customHeight="1" x14ac:dyDescent="0.25">
      <c r="A144" s="96" t="s">
        <v>115</v>
      </c>
      <c r="B144" s="94"/>
      <c r="C144" s="94"/>
      <c r="D144" s="94"/>
      <c r="E144" s="94"/>
      <c r="F144" s="94"/>
      <c r="G144" s="94"/>
      <c r="H144" s="95"/>
    </row>
    <row r="145" spans="1:8" ht="18" customHeight="1" x14ac:dyDescent="0.25">
      <c r="A145" s="3" t="s">
        <v>116</v>
      </c>
      <c r="B145" s="7">
        <v>2532</v>
      </c>
      <c r="C145" s="7"/>
      <c r="D145" s="7"/>
      <c r="E145" s="7">
        <f t="shared" ref="E145:E158" si="85">C145+D145</f>
        <v>0</v>
      </c>
      <c r="F145" s="7">
        <f t="shared" ref="F145:F158" si="86">IF(AND(B145&gt;0,B145&gt;E145),B145-E145,0)</f>
        <v>2532</v>
      </c>
      <c r="G145" s="7">
        <f t="shared" ref="G145:G158" si="87">IF(AND(B145&gt;0,B145&lt;E145),B145-E145,0)</f>
        <v>0</v>
      </c>
      <c r="H145" s="7">
        <f t="shared" ref="H145:H158" si="88">IF(AND(B145=0,B145&lt;E145),E145-B145,0)</f>
        <v>0</v>
      </c>
    </row>
    <row r="146" spans="1:8" ht="18" customHeight="1" x14ac:dyDescent="0.25">
      <c r="A146" s="11" t="s">
        <v>117</v>
      </c>
      <c r="B146" s="12">
        <v>2534</v>
      </c>
      <c r="C146" s="12"/>
      <c r="D146" s="12"/>
      <c r="E146" s="12">
        <f t="shared" si="85"/>
        <v>0</v>
      </c>
      <c r="F146" s="12">
        <f t="shared" si="86"/>
        <v>2534</v>
      </c>
      <c r="G146" s="12">
        <f t="shared" si="87"/>
        <v>0</v>
      </c>
      <c r="H146" s="12">
        <f t="shared" si="88"/>
        <v>0</v>
      </c>
    </row>
    <row r="147" spans="1:8" ht="18" customHeight="1" x14ac:dyDescent="0.25">
      <c r="A147" s="3" t="s">
        <v>118</v>
      </c>
      <c r="B147" s="7">
        <v>1000</v>
      </c>
      <c r="C147" s="7"/>
      <c r="D147" s="7"/>
      <c r="E147" s="7">
        <f t="shared" si="85"/>
        <v>0</v>
      </c>
      <c r="F147" s="7">
        <f t="shared" si="86"/>
        <v>1000</v>
      </c>
      <c r="G147" s="7">
        <f t="shared" si="87"/>
        <v>0</v>
      </c>
      <c r="H147" s="7">
        <f t="shared" si="88"/>
        <v>0</v>
      </c>
    </row>
    <row r="148" spans="1:8" ht="18" customHeight="1" x14ac:dyDescent="0.25">
      <c r="A148" s="11" t="s">
        <v>119</v>
      </c>
      <c r="B148" s="12">
        <v>2726.7</v>
      </c>
      <c r="C148" s="12"/>
      <c r="D148" s="12"/>
      <c r="E148" s="12">
        <f t="shared" si="85"/>
        <v>0</v>
      </c>
      <c r="F148" s="12">
        <f t="shared" si="86"/>
        <v>2726.7</v>
      </c>
      <c r="G148" s="12">
        <f t="shared" si="87"/>
        <v>0</v>
      </c>
      <c r="H148" s="12">
        <f t="shared" si="88"/>
        <v>0</v>
      </c>
    </row>
    <row r="149" spans="1:8" ht="18" customHeight="1" x14ac:dyDescent="0.25">
      <c r="A149" s="3" t="s">
        <v>120</v>
      </c>
      <c r="B149" s="7">
        <v>4070</v>
      </c>
      <c r="C149" s="7"/>
      <c r="D149" s="7"/>
      <c r="E149" s="7">
        <f t="shared" si="85"/>
        <v>0</v>
      </c>
      <c r="F149" s="7">
        <f t="shared" si="86"/>
        <v>4070</v>
      </c>
      <c r="G149" s="7">
        <f t="shared" si="87"/>
        <v>0</v>
      </c>
      <c r="H149" s="7">
        <f t="shared" si="88"/>
        <v>0</v>
      </c>
    </row>
    <row r="150" spans="1:8" ht="18" customHeight="1" x14ac:dyDescent="0.25">
      <c r="A150" s="11" t="s">
        <v>121</v>
      </c>
      <c r="B150" s="12">
        <v>400</v>
      </c>
      <c r="C150" s="12"/>
      <c r="D150" s="12"/>
      <c r="E150" s="12">
        <f t="shared" si="85"/>
        <v>0</v>
      </c>
      <c r="F150" s="12">
        <f t="shared" si="86"/>
        <v>400</v>
      </c>
      <c r="G150" s="12">
        <f t="shared" si="87"/>
        <v>0</v>
      </c>
      <c r="H150" s="12">
        <f t="shared" si="88"/>
        <v>0</v>
      </c>
    </row>
    <row r="151" spans="1:8" ht="18" customHeight="1" x14ac:dyDescent="0.25">
      <c r="A151" s="3" t="s">
        <v>122</v>
      </c>
      <c r="B151" s="7">
        <v>1200</v>
      </c>
      <c r="C151" s="7"/>
      <c r="D151" s="7"/>
      <c r="E151" s="7">
        <f t="shared" si="85"/>
        <v>0</v>
      </c>
      <c r="F151" s="7">
        <f t="shared" si="86"/>
        <v>1200</v>
      </c>
      <c r="G151" s="7">
        <f t="shared" si="87"/>
        <v>0</v>
      </c>
      <c r="H151" s="7">
        <f t="shared" si="88"/>
        <v>0</v>
      </c>
    </row>
    <row r="152" spans="1:8" ht="18" customHeight="1" x14ac:dyDescent="0.25">
      <c r="A152" s="11" t="s">
        <v>123</v>
      </c>
      <c r="B152" s="12">
        <v>2495.5</v>
      </c>
      <c r="C152" s="12"/>
      <c r="D152" s="12"/>
      <c r="E152" s="12">
        <f t="shared" si="85"/>
        <v>0</v>
      </c>
      <c r="F152" s="12">
        <f t="shared" si="86"/>
        <v>2495.5</v>
      </c>
      <c r="G152" s="12">
        <f t="shared" si="87"/>
        <v>0</v>
      </c>
      <c r="H152" s="12">
        <f t="shared" si="88"/>
        <v>0</v>
      </c>
    </row>
    <row r="153" spans="1:8" ht="18" customHeight="1" x14ac:dyDescent="0.25">
      <c r="A153" s="3" t="s">
        <v>124</v>
      </c>
      <c r="B153" s="7">
        <v>610.41999999999996</v>
      </c>
      <c r="C153" s="7"/>
      <c r="D153" s="7"/>
      <c r="E153" s="7">
        <f t="shared" si="85"/>
        <v>0</v>
      </c>
      <c r="F153" s="7">
        <f t="shared" si="86"/>
        <v>610.41999999999996</v>
      </c>
      <c r="G153" s="7">
        <f t="shared" si="87"/>
        <v>0</v>
      </c>
      <c r="H153" s="7">
        <f t="shared" si="88"/>
        <v>0</v>
      </c>
    </row>
    <row r="154" spans="1:8" ht="18" customHeight="1" x14ac:dyDescent="0.25">
      <c r="A154" s="11" t="s">
        <v>125</v>
      </c>
      <c r="B154" s="12">
        <v>1000</v>
      </c>
      <c r="C154" s="12"/>
      <c r="D154" s="12"/>
      <c r="E154" s="12">
        <f t="shared" si="85"/>
        <v>0</v>
      </c>
      <c r="F154" s="12">
        <f t="shared" si="86"/>
        <v>1000</v>
      </c>
      <c r="G154" s="12">
        <f t="shared" si="87"/>
        <v>0</v>
      </c>
      <c r="H154" s="12">
        <f t="shared" si="88"/>
        <v>0</v>
      </c>
    </row>
    <row r="155" spans="1:8" ht="18" customHeight="1" x14ac:dyDescent="0.25">
      <c r="A155" s="3" t="s">
        <v>126</v>
      </c>
      <c r="B155" s="7">
        <v>3000</v>
      </c>
      <c r="C155" s="7"/>
      <c r="D155" s="7"/>
      <c r="E155" s="7">
        <f t="shared" si="85"/>
        <v>0</v>
      </c>
      <c r="F155" s="7">
        <f t="shared" si="86"/>
        <v>3000</v>
      </c>
      <c r="G155" s="7">
        <f t="shared" si="87"/>
        <v>0</v>
      </c>
      <c r="H155" s="7">
        <f t="shared" si="88"/>
        <v>0</v>
      </c>
    </row>
    <row r="156" spans="1:8" ht="18" customHeight="1" x14ac:dyDescent="0.25">
      <c r="A156" s="11" t="s">
        <v>127</v>
      </c>
      <c r="B156" s="12">
        <v>5000</v>
      </c>
      <c r="C156" s="12"/>
      <c r="D156" s="12"/>
      <c r="E156" s="12">
        <f t="shared" si="85"/>
        <v>0</v>
      </c>
      <c r="F156" s="12">
        <f t="shared" si="86"/>
        <v>5000</v>
      </c>
      <c r="G156" s="12">
        <f t="shared" si="87"/>
        <v>0</v>
      </c>
      <c r="H156" s="12">
        <f t="shared" si="88"/>
        <v>0</v>
      </c>
    </row>
    <row r="157" spans="1:8" ht="18" customHeight="1" x14ac:dyDescent="0.25">
      <c r="A157" s="3" t="s">
        <v>128</v>
      </c>
      <c r="B157" s="7">
        <v>1200</v>
      </c>
      <c r="C157" s="7"/>
      <c r="D157" s="7"/>
      <c r="E157" s="7">
        <f t="shared" si="85"/>
        <v>0</v>
      </c>
      <c r="F157" s="7">
        <f t="shared" si="86"/>
        <v>1200</v>
      </c>
      <c r="G157" s="7">
        <f t="shared" si="87"/>
        <v>0</v>
      </c>
      <c r="H157" s="7">
        <f t="shared" si="88"/>
        <v>0</v>
      </c>
    </row>
    <row r="158" spans="1:8" ht="18" customHeight="1" x14ac:dyDescent="0.25">
      <c r="A158" s="11" t="s">
        <v>26</v>
      </c>
      <c r="B158" s="12">
        <v>1806.86</v>
      </c>
      <c r="C158" s="12"/>
      <c r="D158" s="12"/>
      <c r="E158" s="12">
        <f t="shared" si="85"/>
        <v>0</v>
      </c>
      <c r="F158" s="12">
        <f t="shared" si="86"/>
        <v>1806.86</v>
      </c>
      <c r="G158" s="12">
        <f t="shared" si="87"/>
        <v>0</v>
      </c>
      <c r="H158" s="12">
        <f t="shared" si="88"/>
        <v>0</v>
      </c>
    </row>
    <row r="159" spans="1:8" ht="18" customHeight="1" x14ac:dyDescent="0.25">
      <c r="A159" s="8" t="s">
        <v>129</v>
      </c>
      <c r="B159" s="9">
        <f t="shared" ref="B159:H159" si="89">SUM(B145:B158)</f>
        <v>29575.48</v>
      </c>
      <c r="C159" s="9">
        <f t="shared" si="89"/>
        <v>0</v>
      </c>
      <c r="D159" s="9">
        <f t="shared" si="89"/>
        <v>0</v>
      </c>
      <c r="E159" s="9">
        <f t="shared" si="89"/>
        <v>0</v>
      </c>
      <c r="F159" s="9">
        <f t="shared" si="89"/>
        <v>29575.48</v>
      </c>
      <c r="G159" s="9">
        <f t="shared" si="89"/>
        <v>0</v>
      </c>
      <c r="H159" s="9">
        <f t="shared" si="89"/>
        <v>0</v>
      </c>
    </row>
    <row r="160" spans="1:8" ht="14.25" customHeight="1" x14ac:dyDescent="0.25">
      <c r="B160" s="10"/>
      <c r="C160" s="10"/>
      <c r="D160" s="10"/>
      <c r="E160" s="10"/>
      <c r="F160" s="10"/>
      <c r="G160" s="10"/>
      <c r="H160" s="10"/>
    </row>
    <row r="161" spans="1:8" ht="18" customHeight="1" x14ac:dyDescent="0.25">
      <c r="A161" s="96" t="s">
        <v>130</v>
      </c>
      <c r="B161" s="94"/>
      <c r="C161" s="94"/>
      <c r="D161" s="94"/>
      <c r="E161" s="94"/>
      <c r="F161" s="94"/>
      <c r="G161" s="94"/>
      <c r="H161" s="95"/>
    </row>
    <row r="162" spans="1:8" ht="18" customHeight="1" x14ac:dyDescent="0.25">
      <c r="A162" s="3" t="s">
        <v>131</v>
      </c>
      <c r="B162" s="7">
        <v>22000</v>
      </c>
      <c r="C162" s="7"/>
      <c r="D162" s="7"/>
      <c r="E162" s="7">
        <f t="shared" ref="E162:E166" si="90">C162+D162</f>
        <v>0</v>
      </c>
      <c r="F162" s="7">
        <f t="shared" ref="F162:F166" si="91">IF(AND(B162&gt;0,B162&gt;E162),B162-E162,0)</f>
        <v>22000</v>
      </c>
      <c r="G162" s="7">
        <f t="shared" ref="G162:G166" si="92">IF(AND(B162&gt;0,B162&lt;E162),B162-E162,0)</f>
        <v>0</v>
      </c>
      <c r="H162" s="7">
        <f t="shared" ref="H162:H166" si="93">IF(AND(B162=0,B162&lt;E162),E162-B162,0)</f>
        <v>0</v>
      </c>
    </row>
    <row r="163" spans="1:8" ht="18" customHeight="1" x14ac:dyDescent="0.25">
      <c r="A163" s="11" t="s">
        <v>132</v>
      </c>
      <c r="B163" s="12">
        <v>8500</v>
      </c>
      <c r="C163" s="12"/>
      <c r="D163" s="12"/>
      <c r="E163" s="12">
        <f t="shared" si="90"/>
        <v>0</v>
      </c>
      <c r="F163" s="12">
        <f t="shared" si="91"/>
        <v>8500</v>
      </c>
      <c r="G163" s="12">
        <f t="shared" si="92"/>
        <v>0</v>
      </c>
      <c r="H163" s="12">
        <f t="shared" si="93"/>
        <v>0</v>
      </c>
    </row>
    <row r="164" spans="1:8" ht="18" customHeight="1" x14ac:dyDescent="0.25">
      <c r="A164" s="3" t="s">
        <v>133</v>
      </c>
      <c r="B164" s="7">
        <v>2500</v>
      </c>
      <c r="C164" s="7"/>
      <c r="D164" s="7"/>
      <c r="E164" s="7">
        <f t="shared" si="90"/>
        <v>0</v>
      </c>
      <c r="F164" s="7">
        <f t="shared" si="91"/>
        <v>2500</v>
      </c>
      <c r="G164" s="7">
        <f t="shared" si="92"/>
        <v>0</v>
      </c>
      <c r="H164" s="7">
        <f t="shared" si="93"/>
        <v>0</v>
      </c>
    </row>
    <row r="165" spans="1:8" ht="18" customHeight="1" x14ac:dyDescent="0.25">
      <c r="A165" s="11" t="s">
        <v>134</v>
      </c>
      <c r="B165" s="12">
        <v>8000</v>
      </c>
      <c r="C165" s="12"/>
      <c r="D165" s="12"/>
      <c r="E165" s="12">
        <f t="shared" si="90"/>
        <v>0</v>
      </c>
      <c r="F165" s="12">
        <f t="shared" si="91"/>
        <v>8000</v>
      </c>
      <c r="G165" s="12">
        <f t="shared" si="92"/>
        <v>0</v>
      </c>
      <c r="H165" s="12">
        <f t="shared" si="93"/>
        <v>0</v>
      </c>
    </row>
    <row r="166" spans="1:8" ht="18" customHeight="1" x14ac:dyDescent="0.25">
      <c r="A166" s="3" t="s">
        <v>26</v>
      </c>
      <c r="B166" s="7">
        <v>4100</v>
      </c>
      <c r="C166" s="7"/>
      <c r="D166" s="7"/>
      <c r="E166" s="7">
        <f t="shared" si="90"/>
        <v>0</v>
      </c>
      <c r="F166" s="7">
        <f t="shared" si="91"/>
        <v>4100</v>
      </c>
      <c r="G166" s="7">
        <f t="shared" si="92"/>
        <v>0</v>
      </c>
      <c r="H166" s="7">
        <f t="shared" si="93"/>
        <v>0</v>
      </c>
    </row>
    <row r="167" spans="1:8" ht="18" customHeight="1" x14ac:dyDescent="0.25">
      <c r="A167" s="8" t="s">
        <v>135</v>
      </c>
      <c r="B167" s="9">
        <f t="shared" ref="B167:H167" si="94">SUM(B162:B166)</f>
        <v>45100</v>
      </c>
      <c r="C167" s="9">
        <f t="shared" si="94"/>
        <v>0</v>
      </c>
      <c r="D167" s="9">
        <f t="shared" si="94"/>
        <v>0</v>
      </c>
      <c r="E167" s="9">
        <f t="shared" si="94"/>
        <v>0</v>
      </c>
      <c r="F167" s="9">
        <f t="shared" si="94"/>
        <v>45100</v>
      </c>
      <c r="G167" s="9">
        <f t="shared" si="94"/>
        <v>0</v>
      </c>
      <c r="H167" s="9">
        <f t="shared" si="94"/>
        <v>0</v>
      </c>
    </row>
    <row r="168" spans="1:8" ht="14.25" customHeight="1" x14ac:dyDescent="0.25">
      <c r="B168" s="10"/>
      <c r="C168" s="10"/>
      <c r="D168" s="10"/>
      <c r="E168" s="10"/>
      <c r="F168" s="10"/>
      <c r="G168" s="10"/>
      <c r="H168" s="10"/>
    </row>
    <row r="169" spans="1:8" ht="18" customHeight="1" x14ac:dyDescent="0.25">
      <c r="A169" s="96" t="s">
        <v>136</v>
      </c>
      <c r="B169" s="94"/>
      <c r="C169" s="94"/>
      <c r="D169" s="94"/>
      <c r="E169" s="94"/>
      <c r="F169" s="94"/>
      <c r="G169" s="94"/>
      <c r="H169" s="95"/>
    </row>
    <row r="170" spans="1:8" ht="18" customHeight="1" x14ac:dyDescent="0.25">
      <c r="A170" s="3" t="s">
        <v>137</v>
      </c>
      <c r="B170" s="7">
        <v>5000</v>
      </c>
      <c r="C170" s="7"/>
      <c r="D170" s="7"/>
      <c r="E170" s="7">
        <f t="shared" ref="E170:E173" si="95">C170+D170</f>
        <v>0</v>
      </c>
      <c r="F170" s="7">
        <f t="shared" ref="F170:F173" si="96">IF(AND(B170&gt;0,B170&gt;E170),B170-E170,0)</f>
        <v>5000</v>
      </c>
      <c r="G170" s="7">
        <f t="shared" ref="G170:G173" si="97">IF(AND(B170&gt;0,B170&lt;E170),B170-E170,0)</f>
        <v>0</v>
      </c>
      <c r="H170" s="7">
        <f t="shared" ref="H170:H173" si="98">IF(AND(B170=0,B170&lt;E170),E170-B170,0)</f>
        <v>0</v>
      </c>
    </row>
    <row r="171" spans="1:8" ht="18" customHeight="1" x14ac:dyDescent="0.25">
      <c r="A171" s="11" t="s">
        <v>138</v>
      </c>
      <c r="B171" s="12">
        <v>8600</v>
      </c>
      <c r="C171" s="12"/>
      <c r="D171" s="12"/>
      <c r="E171" s="12">
        <f t="shared" si="95"/>
        <v>0</v>
      </c>
      <c r="F171" s="12">
        <f t="shared" si="96"/>
        <v>8600</v>
      </c>
      <c r="G171" s="12">
        <f t="shared" si="97"/>
        <v>0</v>
      </c>
      <c r="H171" s="12">
        <f t="shared" si="98"/>
        <v>0</v>
      </c>
    </row>
    <row r="172" spans="1:8" ht="18" customHeight="1" x14ac:dyDescent="0.25">
      <c r="A172" s="3" t="s">
        <v>139</v>
      </c>
      <c r="B172" s="7">
        <v>4825</v>
      </c>
      <c r="C172" s="7"/>
      <c r="D172" s="7"/>
      <c r="E172" s="7">
        <f t="shared" si="95"/>
        <v>0</v>
      </c>
      <c r="F172" s="7">
        <f t="shared" si="96"/>
        <v>4825</v>
      </c>
      <c r="G172" s="7">
        <f t="shared" si="97"/>
        <v>0</v>
      </c>
      <c r="H172" s="7">
        <f t="shared" si="98"/>
        <v>0</v>
      </c>
    </row>
    <row r="173" spans="1:8" ht="18" customHeight="1" x14ac:dyDescent="0.25">
      <c r="A173" s="11" t="s">
        <v>140</v>
      </c>
      <c r="B173" s="12">
        <v>3000</v>
      </c>
      <c r="C173" s="12"/>
      <c r="D173" s="12"/>
      <c r="E173" s="12">
        <f t="shared" si="95"/>
        <v>0</v>
      </c>
      <c r="F173" s="12">
        <f t="shared" si="96"/>
        <v>3000</v>
      </c>
      <c r="G173" s="12">
        <f t="shared" si="97"/>
        <v>0</v>
      </c>
      <c r="H173" s="12">
        <f t="shared" si="98"/>
        <v>0</v>
      </c>
    </row>
    <row r="174" spans="1:8" ht="18" customHeight="1" x14ac:dyDescent="0.25">
      <c r="A174" s="8" t="s">
        <v>141</v>
      </c>
      <c r="B174" s="9">
        <f t="shared" ref="B174:H174" si="99">SUM(B170:B173)</f>
        <v>21425</v>
      </c>
      <c r="C174" s="9">
        <f t="shared" si="99"/>
        <v>0</v>
      </c>
      <c r="D174" s="9">
        <f t="shared" si="99"/>
        <v>0</v>
      </c>
      <c r="E174" s="9">
        <f t="shared" si="99"/>
        <v>0</v>
      </c>
      <c r="F174" s="9">
        <f t="shared" si="99"/>
        <v>21425</v>
      </c>
      <c r="G174" s="9">
        <f t="shared" si="99"/>
        <v>0</v>
      </c>
      <c r="H174" s="9">
        <f t="shared" si="99"/>
        <v>0</v>
      </c>
    </row>
    <row r="175" spans="1:8" ht="14.25" customHeight="1" x14ac:dyDescent="0.25">
      <c r="B175" s="10"/>
      <c r="C175" s="10"/>
      <c r="D175" s="10"/>
      <c r="E175" s="10"/>
      <c r="F175" s="10"/>
      <c r="G175" s="10"/>
      <c r="H175" s="10"/>
    </row>
    <row r="176" spans="1:8" ht="18" customHeight="1" x14ac:dyDescent="0.25">
      <c r="A176" s="96" t="s">
        <v>142</v>
      </c>
      <c r="B176" s="94"/>
      <c r="C176" s="94"/>
      <c r="D176" s="94"/>
      <c r="E176" s="94"/>
      <c r="F176" s="94"/>
      <c r="G176" s="94"/>
      <c r="H176" s="95"/>
    </row>
    <row r="177" spans="1:8" ht="18" customHeight="1" x14ac:dyDescent="0.25">
      <c r="A177" s="3" t="s">
        <v>143</v>
      </c>
      <c r="B177" s="7">
        <v>10000</v>
      </c>
      <c r="C177" s="7"/>
      <c r="D177" s="7"/>
      <c r="E177" s="7">
        <f t="shared" ref="E177:E180" si="100">C177+D177</f>
        <v>0</v>
      </c>
      <c r="F177" s="7">
        <f t="shared" ref="F177:F180" si="101">IF(AND(B177&gt;0,B177&gt;E177),B177-E177,0)</f>
        <v>10000</v>
      </c>
      <c r="G177" s="7">
        <f t="shared" ref="G177:G180" si="102">IF(AND(B177&gt;0,B177&lt;E177),B177-E177,0)</f>
        <v>0</v>
      </c>
      <c r="H177" s="7">
        <f t="shared" ref="H177:H180" si="103">IF(AND(B177=0,B177&lt;E177),E177-B177,0)</f>
        <v>0</v>
      </c>
    </row>
    <row r="178" spans="1:8" ht="18" customHeight="1" x14ac:dyDescent="0.25">
      <c r="A178" s="11" t="s">
        <v>144</v>
      </c>
      <c r="B178" s="12">
        <v>5500</v>
      </c>
      <c r="C178" s="12"/>
      <c r="D178" s="12"/>
      <c r="E178" s="12">
        <f t="shared" si="100"/>
        <v>0</v>
      </c>
      <c r="F178" s="12">
        <f t="shared" si="101"/>
        <v>5500</v>
      </c>
      <c r="G178" s="12">
        <f t="shared" si="102"/>
        <v>0</v>
      </c>
      <c r="H178" s="12">
        <f t="shared" si="103"/>
        <v>0</v>
      </c>
    </row>
    <row r="179" spans="1:8" ht="18" customHeight="1" x14ac:dyDescent="0.25">
      <c r="A179" s="3" t="s">
        <v>145</v>
      </c>
      <c r="B179" s="7">
        <v>1500</v>
      </c>
      <c r="C179" s="7"/>
      <c r="D179" s="7"/>
      <c r="E179" s="7">
        <f t="shared" si="100"/>
        <v>0</v>
      </c>
      <c r="F179" s="7">
        <f t="shared" si="101"/>
        <v>1500</v>
      </c>
      <c r="G179" s="7">
        <f t="shared" si="102"/>
        <v>0</v>
      </c>
      <c r="H179" s="7">
        <f t="shared" si="103"/>
        <v>0</v>
      </c>
    </row>
    <row r="180" spans="1:8" ht="18" customHeight="1" x14ac:dyDescent="0.25">
      <c r="A180" s="11" t="s">
        <v>146</v>
      </c>
      <c r="B180" s="12">
        <v>2500</v>
      </c>
      <c r="C180" s="12"/>
      <c r="D180" s="12"/>
      <c r="E180" s="12">
        <f t="shared" si="100"/>
        <v>0</v>
      </c>
      <c r="F180" s="12">
        <f t="shared" si="101"/>
        <v>2500</v>
      </c>
      <c r="G180" s="12">
        <f t="shared" si="102"/>
        <v>0</v>
      </c>
      <c r="H180" s="12">
        <f t="shared" si="103"/>
        <v>0</v>
      </c>
    </row>
    <row r="181" spans="1:8" ht="18" customHeight="1" x14ac:dyDescent="0.25">
      <c r="A181" s="8" t="s">
        <v>147</v>
      </c>
      <c r="B181" s="9">
        <f t="shared" ref="B181:H181" si="104">SUM(B177:B180)</f>
        <v>19500</v>
      </c>
      <c r="C181" s="9">
        <f t="shared" si="104"/>
        <v>0</v>
      </c>
      <c r="D181" s="9">
        <f t="shared" si="104"/>
        <v>0</v>
      </c>
      <c r="E181" s="9">
        <f t="shared" si="104"/>
        <v>0</v>
      </c>
      <c r="F181" s="9">
        <f t="shared" si="104"/>
        <v>19500</v>
      </c>
      <c r="G181" s="9">
        <f t="shared" si="104"/>
        <v>0</v>
      </c>
      <c r="H181" s="9">
        <f t="shared" si="104"/>
        <v>0</v>
      </c>
    </row>
    <row r="182" spans="1:8" ht="14.25" customHeight="1" x14ac:dyDescent="0.25">
      <c r="B182" s="10"/>
      <c r="C182" s="10"/>
      <c r="D182" s="10"/>
      <c r="E182" s="10"/>
      <c r="F182" s="10"/>
      <c r="G182" s="10"/>
      <c r="H182" s="10"/>
    </row>
    <row r="183" spans="1:8" ht="18" customHeight="1" x14ac:dyDescent="0.25">
      <c r="A183" s="96" t="s">
        <v>148</v>
      </c>
      <c r="B183" s="94"/>
      <c r="C183" s="94"/>
      <c r="D183" s="94"/>
      <c r="E183" s="94"/>
      <c r="F183" s="94"/>
      <c r="G183" s="94"/>
      <c r="H183" s="95"/>
    </row>
    <row r="184" spans="1:8" ht="18" customHeight="1" x14ac:dyDescent="0.25">
      <c r="A184" s="3" t="s">
        <v>149</v>
      </c>
      <c r="B184" s="7">
        <v>1200</v>
      </c>
      <c r="C184" s="7"/>
      <c r="D184" s="7">
        <v>97.58</v>
      </c>
      <c r="E184" s="7">
        <f t="shared" ref="E184:E187" si="105">C184+D184</f>
        <v>97.58</v>
      </c>
      <c r="F184" s="7">
        <f t="shared" ref="F184:F187" si="106">IF(AND(B184&gt;0,B184&gt;E184),B184-E184,0)</f>
        <v>1102.42</v>
      </c>
      <c r="G184" s="7">
        <f t="shared" ref="G184:G187" si="107">IF(AND(B184&gt;0,B184&lt;E184),B184-E184,0)</f>
        <v>0</v>
      </c>
      <c r="H184" s="7">
        <f t="shared" ref="H184:H187" si="108">IF(AND(B184=0,B184&lt;E184),E184-B184,0)</f>
        <v>0</v>
      </c>
    </row>
    <row r="185" spans="1:8" ht="18" customHeight="1" x14ac:dyDescent="0.25">
      <c r="A185" s="11" t="s">
        <v>150</v>
      </c>
      <c r="B185" s="12">
        <v>1500</v>
      </c>
      <c r="C185" s="12"/>
      <c r="D185" s="12"/>
      <c r="E185" s="12">
        <f t="shared" si="105"/>
        <v>0</v>
      </c>
      <c r="F185" s="12">
        <f t="shared" si="106"/>
        <v>1500</v>
      </c>
      <c r="G185" s="12">
        <f t="shared" si="107"/>
        <v>0</v>
      </c>
      <c r="H185" s="12">
        <f t="shared" si="108"/>
        <v>0</v>
      </c>
    </row>
    <row r="186" spans="1:8" ht="18" customHeight="1" x14ac:dyDescent="0.25">
      <c r="A186" s="3" t="s">
        <v>151</v>
      </c>
      <c r="B186" s="7">
        <v>1000</v>
      </c>
      <c r="C186" s="7"/>
      <c r="D186" s="7"/>
      <c r="E186" s="7">
        <f t="shared" si="105"/>
        <v>0</v>
      </c>
      <c r="F186" s="7">
        <f t="shared" si="106"/>
        <v>1000</v>
      </c>
      <c r="G186" s="7">
        <f t="shared" si="107"/>
        <v>0</v>
      </c>
      <c r="H186" s="7">
        <f t="shared" si="108"/>
        <v>0</v>
      </c>
    </row>
    <row r="187" spans="1:8" ht="18" customHeight="1" x14ac:dyDescent="0.25">
      <c r="A187" s="11" t="s">
        <v>152</v>
      </c>
      <c r="B187" s="12">
        <v>3500</v>
      </c>
      <c r="C187" s="12"/>
      <c r="D187" s="12"/>
      <c r="E187" s="12">
        <f t="shared" si="105"/>
        <v>0</v>
      </c>
      <c r="F187" s="12">
        <f t="shared" si="106"/>
        <v>3500</v>
      </c>
      <c r="G187" s="12">
        <f t="shared" si="107"/>
        <v>0</v>
      </c>
      <c r="H187" s="12">
        <f t="shared" si="108"/>
        <v>0</v>
      </c>
    </row>
    <row r="188" spans="1:8" ht="18" customHeight="1" x14ac:dyDescent="0.25">
      <c r="A188" s="8" t="s">
        <v>153</v>
      </c>
      <c r="B188" s="9">
        <f t="shared" ref="B188:H188" si="109">SUM(B184:B187)</f>
        <v>7200</v>
      </c>
      <c r="C188" s="9">
        <f t="shared" si="109"/>
        <v>0</v>
      </c>
      <c r="D188" s="9">
        <f t="shared" si="109"/>
        <v>97.58</v>
      </c>
      <c r="E188" s="9">
        <f t="shared" si="109"/>
        <v>97.58</v>
      </c>
      <c r="F188" s="9">
        <f t="shared" si="109"/>
        <v>7102.42</v>
      </c>
      <c r="G188" s="9">
        <f t="shared" si="109"/>
        <v>0</v>
      </c>
      <c r="H188" s="9">
        <f t="shared" si="109"/>
        <v>0</v>
      </c>
    </row>
    <row r="189" spans="1:8" ht="14.25" customHeight="1" x14ac:dyDescent="0.25">
      <c r="B189" s="10"/>
      <c r="C189" s="10"/>
      <c r="D189" s="10"/>
      <c r="E189" s="10"/>
      <c r="F189" s="10"/>
      <c r="G189" s="10"/>
      <c r="H189" s="10"/>
    </row>
    <row r="190" spans="1:8" ht="18" customHeight="1" x14ac:dyDescent="0.25">
      <c r="A190" s="96" t="s">
        <v>154</v>
      </c>
      <c r="B190" s="94"/>
      <c r="C190" s="94"/>
      <c r="D190" s="94"/>
      <c r="E190" s="94"/>
      <c r="F190" s="94"/>
      <c r="G190" s="94"/>
      <c r="H190" s="95"/>
    </row>
    <row r="191" spans="1:8" ht="18" customHeight="1" x14ac:dyDescent="0.25">
      <c r="A191" s="3" t="s">
        <v>155</v>
      </c>
      <c r="B191" s="7">
        <v>25200</v>
      </c>
      <c r="C191" s="7">
        <v>10186.200000000001</v>
      </c>
      <c r="D191" s="7">
        <v>1549.8</v>
      </c>
      <c r="E191" s="7">
        <f t="shared" ref="E191:E193" si="110">C191+D191</f>
        <v>11736</v>
      </c>
      <c r="F191" s="7">
        <f>IF(AND(B191&gt;0,B191&gt;E191),B191-E191,0)</f>
        <v>13464</v>
      </c>
      <c r="G191" s="7">
        <f t="shared" ref="G191:G193" si="111">IF(AND(B191&gt;0,B191&lt;E191),B191-E191,0)</f>
        <v>0</v>
      </c>
      <c r="H191" s="7">
        <f t="shared" ref="H191:H193" si="112">IF(AND(B191=0,B191&lt;E191),E191-B191,0)</f>
        <v>0</v>
      </c>
    </row>
    <row r="192" spans="1:8" ht="14.25" customHeight="1" x14ac:dyDescent="0.25">
      <c r="A192" s="16" t="s">
        <v>156</v>
      </c>
      <c r="B192" s="15"/>
      <c r="C192" s="15">
        <v>-5000</v>
      </c>
      <c r="D192" s="15"/>
      <c r="E192" s="15">
        <f t="shared" si="110"/>
        <v>-5000</v>
      </c>
      <c r="F192" s="15">
        <f>-E192</f>
        <v>5000</v>
      </c>
      <c r="G192" s="15">
        <f t="shared" si="111"/>
        <v>0</v>
      </c>
      <c r="H192" s="15">
        <f t="shared" si="112"/>
        <v>0</v>
      </c>
    </row>
    <row r="193" spans="1:8" ht="18" customHeight="1" x14ac:dyDescent="0.25">
      <c r="A193" s="11" t="s">
        <v>157</v>
      </c>
      <c r="B193" s="12">
        <v>12600</v>
      </c>
      <c r="C193" s="12">
        <v>720</v>
      </c>
      <c r="D193" s="12">
        <f>10*90</f>
        <v>900</v>
      </c>
      <c r="E193" s="12">
        <f t="shared" si="110"/>
        <v>1620</v>
      </c>
      <c r="F193" s="12">
        <f>IF(AND(B193&gt;0,B193&gt;E193),B193-E193,0)</f>
        <v>10980</v>
      </c>
      <c r="G193" s="12">
        <f t="shared" si="111"/>
        <v>0</v>
      </c>
      <c r="H193" s="12">
        <f t="shared" si="112"/>
        <v>0</v>
      </c>
    </row>
    <row r="194" spans="1:8" ht="18" customHeight="1" x14ac:dyDescent="0.25">
      <c r="A194" s="8" t="s">
        <v>158</v>
      </c>
      <c r="B194" s="9">
        <f t="shared" ref="B194:H194" si="113">SUM(B191:B193)</f>
        <v>37800</v>
      </c>
      <c r="C194" s="9">
        <f t="shared" si="113"/>
        <v>5906.2000000000007</v>
      </c>
      <c r="D194" s="9">
        <f t="shared" si="113"/>
        <v>2449.8000000000002</v>
      </c>
      <c r="E194" s="9">
        <f t="shared" si="113"/>
        <v>8356</v>
      </c>
      <c r="F194" s="9">
        <f t="shared" si="113"/>
        <v>29444</v>
      </c>
      <c r="G194" s="9">
        <f t="shared" si="113"/>
        <v>0</v>
      </c>
      <c r="H194" s="9">
        <f t="shared" si="113"/>
        <v>0</v>
      </c>
    </row>
    <row r="195" spans="1:8" ht="14.25" customHeight="1" x14ac:dyDescent="0.25">
      <c r="B195" s="10"/>
      <c r="C195" s="10"/>
      <c r="D195" s="10"/>
      <c r="E195" s="10"/>
      <c r="F195" s="10"/>
      <c r="G195" s="10"/>
      <c r="H195" s="10"/>
    </row>
    <row r="196" spans="1:8" ht="18" customHeight="1" x14ac:dyDescent="0.25">
      <c r="A196" s="96" t="s">
        <v>159</v>
      </c>
      <c r="B196" s="94"/>
      <c r="C196" s="94"/>
      <c r="D196" s="94"/>
      <c r="E196" s="94"/>
      <c r="F196" s="94"/>
      <c r="G196" s="94"/>
      <c r="H196" s="95"/>
    </row>
    <row r="197" spans="1:8" ht="18" customHeight="1" x14ac:dyDescent="0.25">
      <c r="A197" s="3" t="s">
        <v>160</v>
      </c>
      <c r="B197" s="7">
        <v>8628.48</v>
      </c>
      <c r="C197" s="7">
        <v>435.6</v>
      </c>
      <c r="D197" s="7">
        <v>737.1</v>
      </c>
      <c r="E197" s="7">
        <f t="shared" ref="E197:E200" si="114">C197+D197</f>
        <v>1172.7</v>
      </c>
      <c r="F197" s="7">
        <f t="shared" ref="F197:F200" si="115">IF(AND(B197&gt;0,B197&gt;E197),B197-E197,0)</f>
        <v>7455.78</v>
      </c>
      <c r="G197" s="7">
        <f t="shared" ref="G197:G200" si="116">IF(AND(B197&gt;0,B197&lt;E197),B197-E197,0)</f>
        <v>0</v>
      </c>
      <c r="H197" s="7">
        <f t="shared" ref="H197:H200" si="117">IF(AND(B197=0,B197&lt;E197),E197-B197,0)</f>
        <v>0</v>
      </c>
    </row>
    <row r="198" spans="1:8" ht="18" customHeight="1" x14ac:dyDescent="0.25">
      <c r="A198" s="11" t="s">
        <v>161</v>
      </c>
      <c r="B198" s="12">
        <v>5000</v>
      </c>
      <c r="C198" s="12"/>
      <c r="D198" s="12">
        <v>0</v>
      </c>
      <c r="E198" s="12">
        <f t="shared" si="114"/>
        <v>0</v>
      </c>
      <c r="F198" s="12">
        <f t="shared" si="115"/>
        <v>5000</v>
      </c>
      <c r="G198" s="12">
        <f t="shared" si="116"/>
        <v>0</v>
      </c>
      <c r="H198" s="12">
        <f t="shared" si="117"/>
        <v>0</v>
      </c>
    </row>
    <row r="199" spans="1:8" ht="18" customHeight="1" x14ac:dyDescent="0.25">
      <c r="A199" s="3" t="s">
        <v>162</v>
      </c>
      <c r="B199" s="7">
        <v>23400</v>
      </c>
      <c r="C199" s="7"/>
      <c r="D199" s="7"/>
      <c r="E199" s="7">
        <f t="shared" si="114"/>
        <v>0</v>
      </c>
      <c r="F199" s="7">
        <f t="shared" si="115"/>
        <v>23400</v>
      </c>
      <c r="G199" s="7">
        <f t="shared" si="116"/>
        <v>0</v>
      </c>
      <c r="H199" s="7">
        <f t="shared" si="117"/>
        <v>0</v>
      </c>
    </row>
    <row r="200" spans="1:8" ht="18" customHeight="1" x14ac:dyDescent="0.25">
      <c r="A200" s="11" t="s">
        <v>163</v>
      </c>
      <c r="B200" s="12">
        <v>2000</v>
      </c>
      <c r="C200" s="12"/>
      <c r="D200" s="12"/>
      <c r="E200" s="12">
        <f t="shared" si="114"/>
        <v>0</v>
      </c>
      <c r="F200" s="12">
        <f t="shared" si="115"/>
        <v>2000</v>
      </c>
      <c r="G200" s="12">
        <f t="shared" si="116"/>
        <v>0</v>
      </c>
      <c r="H200" s="12">
        <f t="shared" si="117"/>
        <v>0</v>
      </c>
    </row>
    <row r="201" spans="1:8" ht="18" customHeight="1" x14ac:dyDescent="0.25">
      <c r="A201" s="8" t="s">
        <v>164</v>
      </c>
      <c r="B201" s="9">
        <f t="shared" ref="B201:H201" si="118">SUM(B197:B200)</f>
        <v>39028.479999999996</v>
      </c>
      <c r="C201" s="9">
        <f t="shared" si="118"/>
        <v>435.6</v>
      </c>
      <c r="D201" s="9">
        <f t="shared" si="118"/>
        <v>737.1</v>
      </c>
      <c r="E201" s="9">
        <f t="shared" si="118"/>
        <v>1172.7</v>
      </c>
      <c r="F201" s="9">
        <f t="shared" si="118"/>
        <v>37855.78</v>
      </c>
      <c r="G201" s="9">
        <f t="shared" si="118"/>
        <v>0</v>
      </c>
      <c r="H201" s="9">
        <f t="shared" si="118"/>
        <v>0</v>
      </c>
    </row>
    <row r="202" spans="1:8" ht="14.25" customHeight="1" x14ac:dyDescent="0.25">
      <c r="B202" s="10"/>
      <c r="C202" s="10"/>
      <c r="D202" s="10"/>
      <c r="E202" s="10"/>
      <c r="F202" s="10"/>
      <c r="G202" s="10"/>
      <c r="H202" s="10"/>
    </row>
    <row r="203" spans="1:8" ht="15" customHeight="1" x14ac:dyDescent="0.25">
      <c r="A203" s="17" t="s">
        <v>165</v>
      </c>
      <c r="B203" s="18">
        <f t="shared" ref="B203:H203" si="119">B6+B12+B20+B27+B42+B52+B57+B63+B71+B77+B85+B91+B97+B106+B111+B118+B131+B142+B159+B167+B174+B181+B188+B194+B201</f>
        <v>1172519.6499999999</v>
      </c>
      <c r="C203" s="18">
        <f t="shared" si="119"/>
        <v>45894.909999999996</v>
      </c>
      <c r="D203" s="18">
        <f t="shared" si="119"/>
        <v>62487.94</v>
      </c>
      <c r="E203" s="18">
        <f t="shared" si="119"/>
        <v>108382.84999999999</v>
      </c>
      <c r="F203" s="18">
        <f t="shared" si="119"/>
        <v>1090208.7899999998</v>
      </c>
      <c r="G203" s="18">
        <f t="shared" si="119"/>
        <v>-9243.6799999999985</v>
      </c>
      <c r="H203" s="18">
        <f t="shared" si="119"/>
        <v>16828.309999999998</v>
      </c>
    </row>
    <row r="204" spans="1:8" ht="15" customHeight="1" x14ac:dyDescent="0.25">
      <c r="A204" s="19" t="s">
        <v>166</v>
      </c>
      <c r="B204" s="20">
        <f t="shared" ref="B204" si="120">B203*0.15</f>
        <v>175877.94749999998</v>
      </c>
      <c r="C204" s="20">
        <f>(C203*0.15)-(($C$197+$C$194-$G$9)*0.15)</f>
        <v>4979.8844999999992</v>
      </c>
      <c r="D204" s="20">
        <f>(D203*0.15)-(($D$197+$D$194)*0.15)</f>
        <v>8895.1560000000009</v>
      </c>
      <c r="E204" s="20">
        <f>(E203*0.15)-(($E$197+$E$194-$G$9)*0.15)</f>
        <v>13875.040499999999</v>
      </c>
      <c r="F204" s="20">
        <f>F203*0.15</f>
        <v>163531.31849999996</v>
      </c>
      <c r="G204" s="20">
        <f>(G203*0.15)+(-$G$9*0.15)</f>
        <v>-433.4699999999998</v>
      </c>
      <c r="H204" s="20">
        <f>H203*0.15</f>
        <v>2524.2464999999997</v>
      </c>
    </row>
    <row r="205" spans="1:8" ht="15" customHeight="1" x14ac:dyDescent="0.25">
      <c r="A205" s="21" t="s">
        <v>167</v>
      </c>
      <c r="B205" s="22">
        <f t="shared" ref="B205:H205" si="121">(B203+B204)*0.05</f>
        <v>67419.879874999999</v>
      </c>
      <c r="C205" s="22">
        <f t="shared" si="121"/>
        <v>2543.7397249999999</v>
      </c>
      <c r="D205" s="22">
        <f t="shared" si="121"/>
        <v>3569.1548000000003</v>
      </c>
      <c r="E205" s="22">
        <f t="shared" si="121"/>
        <v>6112.8945249999997</v>
      </c>
      <c r="F205" s="22">
        <f t="shared" si="121"/>
        <v>62687.005424999996</v>
      </c>
      <c r="G205" s="22">
        <f t="shared" si="121"/>
        <v>-483.8574999999999</v>
      </c>
      <c r="H205" s="22">
        <f t="shared" si="121"/>
        <v>967.62782500000003</v>
      </c>
    </row>
    <row r="206" spans="1:8" ht="15" customHeight="1" x14ac:dyDescent="0.25">
      <c r="A206" s="17" t="s">
        <v>168</v>
      </c>
      <c r="B206" s="18">
        <f t="shared" ref="B206:H206" si="122">B203+B204+B205</f>
        <v>1415817.477375</v>
      </c>
      <c r="C206" s="18">
        <f t="shared" si="122"/>
        <v>53418.534224999996</v>
      </c>
      <c r="D206" s="18">
        <f t="shared" si="122"/>
        <v>74952.250800000009</v>
      </c>
      <c r="E206" s="18">
        <f t="shared" si="122"/>
        <v>128370.78502499999</v>
      </c>
      <c r="F206" s="18">
        <f t="shared" si="122"/>
        <v>1316427.113925</v>
      </c>
      <c r="G206" s="18">
        <f t="shared" si="122"/>
        <v>-10161.007499999998</v>
      </c>
      <c r="H206" s="18">
        <f t="shared" si="122"/>
        <v>20320.184324999998</v>
      </c>
    </row>
    <row r="207" spans="1:8" ht="14.25" customHeight="1" x14ac:dyDescent="0.25">
      <c r="B207" s="10"/>
      <c r="C207" s="10"/>
      <c r="D207" s="10"/>
      <c r="E207" s="10"/>
      <c r="F207" s="10"/>
      <c r="G207" s="10"/>
      <c r="H207" s="10"/>
    </row>
    <row r="208" spans="1:8" ht="14.25" customHeight="1" x14ac:dyDescent="0.25">
      <c r="B208" s="10"/>
      <c r="C208" s="10"/>
      <c r="D208" s="10"/>
      <c r="E208" s="10"/>
      <c r="F208" s="10"/>
      <c r="G208" s="10"/>
      <c r="H208" s="10"/>
    </row>
    <row r="209" spans="1:8" ht="18" customHeight="1" x14ac:dyDescent="0.25">
      <c r="A209" s="93" t="s">
        <v>169</v>
      </c>
      <c r="B209" s="94"/>
      <c r="C209" s="94"/>
      <c r="D209" s="94"/>
      <c r="E209" s="94"/>
      <c r="F209" s="94"/>
      <c r="G209" s="94"/>
      <c r="H209" s="95"/>
    </row>
  </sheetData>
  <mergeCells count="26">
    <mergeCell ref="A113:H113"/>
    <mergeCell ref="A120:H120"/>
    <mergeCell ref="A133:H133"/>
    <mergeCell ref="A209:H209"/>
    <mergeCell ref="A144:H144"/>
    <mergeCell ref="A161:H161"/>
    <mergeCell ref="A169:H169"/>
    <mergeCell ref="A176:H176"/>
    <mergeCell ref="A183:H183"/>
    <mergeCell ref="A190:H190"/>
    <mergeCell ref="A196:H196"/>
    <mergeCell ref="A79:H79"/>
    <mergeCell ref="A87:H87"/>
    <mergeCell ref="A93:H93"/>
    <mergeCell ref="A99:H99"/>
    <mergeCell ref="A108:H108"/>
    <mergeCell ref="A44:H44"/>
    <mergeCell ref="A54:H54"/>
    <mergeCell ref="A59:H59"/>
    <mergeCell ref="A65:H65"/>
    <mergeCell ref="A73:H73"/>
    <mergeCell ref="A4:H4"/>
    <mergeCell ref="A8:H8"/>
    <mergeCell ref="A14:H14"/>
    <mergeCell ref="A22:H22"/>
    <mergeCell ref="A29:H29"/>
  </mergeCells>
  <conditionalFormatting sqref="G5:G11 G13:G19 G21:G26 G28:G70 G72:G141 G143:G158 G160:G166 G168:G173 G175:G180 G182:G187 G189:G193 G195:G200 G202">
    <cfRule type="cellIs" dxfId="2" priority="1" operator="lessThan">
      <formula>0</formula>
    </cfRule>
  </conditionalFormatting>
  <conditionalFormatting sqref="H5:H11 H13:H19 H21:H26 H28:H70 H72:H76 H78:H84 H86:H90 H92:H96 H98:H105 H107:H110 H112:H122">
    <cfRule type="cellIs" dxfId="1" priority="2" operator="greaterThan">
      <formula>0</formula>
    </cfRule>
  </conditionalFormatting>
  <conditionalFormatting sqref="H192">
    <cfRule type="cellIs" dxfId="0" priority="3" operator="greaterThan">
      <formula>0</formula>
    </cfRule>
  </conditionalFormatting>
  <pageMargins left="0.14000000000000001" right="0.08" top="0.13" bottom="0.39" header="0" footer="0"/>
  <pageSetup scale="93" orientation="landscape" r:id="rId1"/>
  <headerFoot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8"/>
  <sheetViews>
    <sheetView topLeftCell="A30" workbookViewId="0">
      <selection activeCell="F2" sqref="F2:G2"/>
    </sheetView>
  </sheetViews>
  <sheetFormatPr defaultColWidth="14.42578125" defaultRowHeight="15" customHeight="1" x14ac:dyDescent="0.25"/>
  <cols>
    <col min="1" max="1" width="23" bestFit="1" customWidth="1"/>
    <col min="2" max="2" width="30.7109375" customWidth="1"/>
    <col min="3" max="3" width="34.5703125" customWidth="1"/>
    <col min="4" max="4" width="16.28515625" customWidth="1"/>
    <col min="5" max="5" width="11.7109375" customWidth="1"/>
    <col min="6" max="6" width="27.5703125" customWidth="1"/>
    <col min="7" max="7" width="16.28515625" customWidth="1"/>
    <col min="8" max="26" width="8.7109375" customWidth="1"/>
  </cols>
  <sheetData>
    <row r="1" spans="1:12" ht="3.75" customHeight="1" x14ac:dyDescent="0.25">
      <c r="A1" s="2"/>
      <c r="B1" s="2"/>
      <c r="C1" s="2"/>
      <c r="D1" s="2"/>
      <c r="E1" s="2"/>
      <c r="F1" s="2"/>
      <c r="G1" s="2"/>
    </row>
    <row r="2" spans="1:12" ht="27.75" customHeight="1" x14ac:dyDescent="0.25">
      <c r="A2" s="23" t="s">
        <v>0</v>
      </c>
      <c r="B2" s="23" t="s">
        <v>170</v>
      </c>
      <c r="C2" s="24" t="s">
        <v>171</v>
      </c>
      <c r="D2" s="23" t="s">
        <v>172</v>
      </c>
      <c r="E2" s="23" t="s">
        <v>173</v>
      </c>
      <c r="F2" s="23" t="s">
        <v>174</v>
      </c>
      <c r="G2" s="23" t="s">
        <v>175</v>
      </c>
    </row>
    <row r="3" spans="1:12" ht="14.25" customHeight="1" x14ac:dyDescent="0.25">
      <c r="A3" s="25" t="s">
        <v>176</v>
      </c>
      <c r="B3" s="26"/>
      <c r="C3" s="27"/>
      <c r="D3" s="27"/>
      <c r="E3" s="28"/>
      <c r="F3" s="29"/>
      <c r="G3" s="29"/>
    </row>
    <row r="4" spans="1:12" ht="14.25" customHeight="1" x14ac:dyDescent="0.25">
      <c r="A4" s="30"/>
      <c r="B4" s="31">
        <v>45783</v>
      </c>
      <c r="C4" s="32" t="s">
        <v>177</v>
      </c>
      <c r="D4" s="32" t="s">
        <v>178</v>
      </c>
      <c r="E4" s="33">
        <v>3</v>
      </c>
      <c r="F4" s="34">
        <v>90</v>
      </c>
      <c r="G4" s="34">
        <f t="shared" ref="G4:G41" si="0">E4*F4</f>
        <v>270</v>
      </c>
      <c r="I4" s="35"/>
      <c r="J4" s="36"/>
      <c r="K4" s="36"/>
      <c r="L4" s="36"/>
    </row>
    <row r="5" spans="1:12" ht="14.25" customHeight="1" x14ac:dyDescent="0.25">
      <c r="A5" s="37"/>
      <c r="B5" s="38">
        <v>45791</v>
      </c>
      <c r="C5" s="39" t="s">
        <v>179</v>
      </c>
      <c r="D5" s="39" t="s">
        <v>178</v>
      </c>
      <c r="E5" s="40">
        <v>1.5</v>
      </c>
      <c r="F5" s="41">
        <v>90</v>
      </c>
      <c r="G5" s="41">
        <f t="shared" si="0"/>
        <v>135</v>
      </c>
      <c r="I5" s="35"/>
      <c r="J5" s="36"/>
      <c r="K5" s="36"/>
      <c r="L5" s="36"/>
    </row>
    <row r="6" spans="1:12" ht="14.25" customHeight="1" x14ac:dyDescent="0.25">
      <c r="A6" s="30"/>
      <c r="B6" s="31">
        <v>45798</v>
      </c>
      <c r="C6" s="32" t="s">
        <v>179</v>
      </c>
      <c r="D6" s="32" t="s">
        <v>178</v>
      </c>
      <c r="E6" s="33">
        <v>1.5</v>
      </c>
      <c r="F6" s="34">
        <v>90</v>
      </c>
      <c r="G6" s="34">
        <f t="shared" si="0"/>
        <v>135</v>
      </c>
    </row>
    <row r="7" spans="1:12" ht="14.25" customHeight="1" x14ac:dyDescent="0.25">
      <c r="A7" s="37"/>
      <c r="B7" s="38">
        <v>45807</v>
      </c>
      <c r="C7" s="39" t="s">
        <v>179</v>
      </c>
      <c r="D7" s="39" t="s">
        <v>178</v>
      </c>
      <c r="E7" s="40">
        <v>4</v>
      </c>
      <c r="F7" s="41">
        <v>90</v>
      </c>
      <c r="G7" s="41">
        <f t="shared" si="0"/>
        <v>360</v>
      </c>
    </row>
    <row r="8" spans="1:12" ht="14.25" customHeight="1" x14ac:dyDescent="0.25">
      <c r="A8" s="30"/>
      <c r="B8" s="31">
        <v>45810</v>
      </c>
      <c r="C8" s="32" t="s">
        <v>179</v>
      </c>
      <c r="D8" s="32" t="s">
        <v>178</v>
      </c>
      <c r="E8" s="33">
        <v>1.68</v>
      </c>
      <c r="F8" s="34">
        <v>90</v>
      </c>
      <c r="G8" s="34">
        <f t="shared" si="0"/>
        <v>151.19999999999999</v>
      </c>
    </row>
    <row r="9" spans="1:12" ht="14.25" customHeight="1" x14ac:dyDescent="0.25">
      <c r="A9" s="37"/>
      <c r="B9" s="38">
        <v>45811</v>
      </c>
      <c r="C9" s="39" t="s">
        <v>179</v>
      </c>
      <c r="D9" s="39" t="s">
        <v>178</v>
      </c>
      <c r="E9" s="40">
        <v>5.17</v>
      </c>
      <c r="F9" s="41">
        <v>90</v>
      </c>
      <c r="G9" s="41">
        <f t="shared" si="0"/>
        <v>465.3</v>
      </c>
    </row>
    <row r="10" spans="1:12" ht="14.25" customHeight="1" x14ac:dyDescent="0.25">
      <c r="A10" s="30"/>
      <c r="B10" s="31">
        <v>45812</v>
      </c>
      <c r="C10" s="32" t="s">
        <v>180</v>
      </c>
      <c r="D10" s="32" t="s">
        <v>178</v>
      </c>
      <c r="E10" s="33">
        <v>4</v>
      </c>
      <c r="F10" s="34">
        <v>90</v>
      </c>
      <c r="G10" s="34">
        <f t="shared" si="0"/>
        <v>360</v>
      </c>
    </row>
    <row r="11" spans="1:12" ht="14.25" customHeight="1" x14ac:dyDescent="0.25">
      <c r="A11" s="37"/>
      <c r="B11" s="38">
        <v>45812</v>
      </c>
      <c r="C11" s="39" t="s">
        <v>179</v>
      </c>
      <c r="D11" s="39" t="s">
        <v>178</v>
      </c>
      <c r="E11" s="40">
        <v>3.33</v>
      </c>
      <c r="F11" s="41">
        <v>90</v>
      </c>
      <c r="G11" s="41">
        <f t="shared" si="0"/>
        <v>299.7</v>
      </c>
    </row>
    <row r="12" spans="1:12" ht="14.25" customHeight="1" x14ac:dyDescent="0.25">
      <c r="A12" s="30"/>
      <c r="B12" s="31">
        <v>45812</v>
      </c>
      <c r="C12" s="32" t="s">
        <v>179</v>
      </c>
      <c r="D12" s="32" t="s">
        <v>178</v>
      </c>
      <c r="E12" s="33">
        <v>1.67</v>
      </c>
      <c r="F12" s="34">
        <v>90</v>
      </c>
      <c r="G12" s="34">
        <f t="shared" si="0"/>
        <v>150.29999999999998</v>
      </c>
    </row>
    <row r="13" spans="1:12" ht="14.25" customHeight="1" x14ac:dyDescent="0.25">
      <c r="A13" s="37"/>
      <c r="B13" s="38">
        <v>45813</v>
      </c>
      <c r="C13" s="39" t="s">
        <v>180</v>
      </c>
      <c r="D13" s="39" t="s">
        <v>178</v>
      </c>
      <c r="E13" s="40">
        <v>5</v>
      </c>
      <c r="F13" s="41">
        <v>90</v>
      </c>
      <c r="G13" s="41">
        <f t="shared" si="0"/>
        <v>450</v>
      </c>
    </row>
    <row r="14" spans="1:12" ht="14.25" customHeight="1" x14ac:dyDescent="0.25">
      <c r="A14" s="30"/>
      <c r="B14" s="31">
        <v>45813</v>
      </c>
      <c r="C14" s="32" t="s">
        <v>179</v>
      </c>
      <c r="D14" s="32" t="s">
        <v>178</v>
      </c>
      <c r="E14" s="33">
        <v>2.17</v>
      </c>
      <c r="F14" s="34">
        <v>90</v>
      </c>
      <c r="G14" s="34">
        <f t="shared" si="0"/>
        <v>195.29999999999998</v>
      </c>
    </row>
    <row r="15" spans="1:12" ht="14.25" customHeight="1" x14ac:dyDescent="0.25">
      <c r="A15" s="37"/>
      <c r="B15" s="38">
        <v>45824</v>
      </c>
      <c r="C15" s="39" t="s">
        <v>177</v>
      </c>
      <c r="D15" s="39" t="s">
        <v>178</v>
      </c>
      <c r="E15" s="40">
        <v>3</v>
      </c>
      <c r="F15" s="41">
        <v>90</v>
      </c>
      <c r="G15" s="41">
        <f t="shared" si="0"/>
        <v>270</v>
      </c>
    </row>
    <row r="16" spans="1:12" ht="14.25" customHeight="1" x14ac:dyDescent="0.25">
      <c r="A16" s="30"/>
      <c r="B16" s="31">
        <v>45826</v>
      </c>
      <c r="C16" s="32" t="s">
        <v>179</v>
      </c>
      <c r="D16" s="32" t="s">
        <v>178</v>
      </c>
      <c r="E16" s="33">
        <v>4.5</v>
      </c>
      <c r="F16" s="34">
        <v>90</v>
      </c>
      <c r="G16" s="34">
        <f t="shared" si="0"/>
        <v>405</v>
      </c>
    </row>
    <row r="17" spans="1:7" ht="14.25" customHeight="1" x14ac:dyDescent="0.25">
      <c r="A17" s="37"/>
      <c r="B17" s="38">
        <v>45830</v>
      </c>
      <c r="C17" s="39" t="s">
        <v>180</v>
      </c>
      <c r="D17" s="39" t="s">
        <v>178</v>
      </c>
      <c r="E17" s="40">
        <v>5.67</v>
      </c>
      <c r="F17" s="41">
        <v>90</v>
      </c>
      <c r="G17" s="41">
        <f t="shared" si="0"/>
        <v>510.3</v>
      </c>
    </row>
    <row r="18" spans="1:7" ht="14.25" customHeight="1" x14ac:dyDescent="0.25">
      <c r="A18" s="30"/>
      <c r="B18" s="31">
        <v>45835</v>
      </c>
      <c r="C18" s="32" t="s">
        <v>180</v>
      </c>
      <c r="D18" s="32" t="s">
        <v>178</v>
      </c>
      <c r="E18" s="33">
        <v>4.83</v>
      </c>
      <c r="F18" s="34">
        <v>90</v>
      </c>
      <c r="G18" s="34">
        <f t="shared" si="0"/>
        <v>434.7</v>
      </c>
    </row>
    <row r="19" spans="1:7" ht="14.25" customHeight="1" x14ac:dyDescent="0.25">
      <c r="A19" s="37"/>
      <c r="B19" s="38">
        <v>45835</v>
      </c>
      <c r="C19" s="39" t="s">
        <v>181</v>
      </c>
      <c r="D19" s="39" t="s">
        <v>178</v>
      </c>
      <c r="E19" s="40">
        <v>3.67</v>
      </c>
      <c r="F19" s="41">
        <v>90</v>
      </c>
      <c r="G19" s="41">
        <f t="shared" si="0"/>
        <v>330.3</v>
      </c>
    </row>
    <row r="20" spans="1:7" ht="14.25" customHeight="1" x14ac:dyDescent="0.25">
      <c r="A20" s="30"/>
      <c r="B20" s="31">
        <v>45925</v>
      </c>
      <c r="C20" s="32" t="s">
        <v>179</v>
      </c>
      <c r="D20" s="32" t="s">
        <v>178</v>
      </c>
      <c r="E20" s="33">
        <v>3</v>
      </c>
      <c r="F20" s="34">
        <v>90</v>
      </c>
      <c r="G20" s="34">
        <f t="shared" si="0"/>
        <v>270</v>
      </c>
    </row>
    <row r="21" spans="1:7" ht="14.25" customHeight="1" x14ac:dyDescent="0.25">
      <c r="A21" s="37"/>
      <c r="B21" s="38">
        <v>45932</v>
      </c>
      <c r="C21" s="39" t="s">
        <v>179</v>
      </c>
      <c r="D21" s="39" t="s">
        <v>178</v>
      </c>
      <c r="E21" s="40">
        <v>5.67</v>
      </c>
      <c r="F21" s="41">
        <v>90</v>
      </c>
      <c r="G21" s="41">
        <f t="shared" si="0"/>
        <v>510.3</v>
      </c>
    </row>
    <row r="22" spans="1:7" ht="14.25" customHeight="1" x14ac:dyDescent="0.25">
      <c r="A22" s="30"/>
      <c r="B22" s="31">
        <v>45938</v>
      </c>
      <c r="C22" s="32" t="s">
        <v>177</v>
      </c>
      <c r="D22" s="32" t="s">
        <v>178</v>
      </c>
      <c r="E22" s="33">
        <v>2</v>
      </c>
      <c r="F22" s="34">
        <v>90</v>
      </c>
      <c r="G22" s="34">
        <f t="shared" si="0"/>
        <v>180</v>
      </c>
    </row>
    <row r="23" spans="1:7" ht="14.25" customHeight="1" x14ac:dyDescent="0.25">
      <c r="A23" s="37"/>
      <c r="B23" s="38">
        <v>45939</v>
      </c>
      <c r="C23" s="39" t="s">
        <v>181</v>
      </c>
      <c r="D23" s="39" t="s">
        <v>178</v>
      </c>
      <c r="E23" s="40">
        <v>2.67</v>
      </c>
      <c r="F23" s="41">
        <v>90</v>
      </c>
      <c r="G23" s="41">
        <f t="shared" si="0"/>
        <v>240.29999999999998</v>
      </c>
    </row>
    <row r="24" spans="1:7" ht="14.25" customHeight="1" x14ac:dyDescent="0.25">
      <c r="A24" s="30"/>
      <c r="B24" s="31">
        <v>45945</v>
      </c>
      <c r="C24" s="32" t="s">
        <v>179</v>
      </c>
      <c r="D24" s="32" t="s">
        <v>178</v>
      </c>
      <c r="E24" s="33">
        <v>2.33</v>
      </c>
      <c r="F24" s="34">
        <v>90</v>
      </c>
      <c r="G24" s="34">
        <f t="shared" si="0"/>
        <v>209.70000000000002</v>
      </c>
    </row>
    <row r="25" spans="1:7" ht="14.25" customHeight="1" x14ac:dyDescent="0.25">
      <c r="A25" s="37"/>
      <c r="B25" s="38">
        <v>45945</v>
      </c>
      <c r="C25" s="39" t="s">
        <v>181</v>
      </c>
      <c r="D25" s="39" t="s">
        <v>178</v>
      </c>
      <c r="E25" s="40">
        <v>5.83</v>
      </c>
      <c r="F25" s="41">
        <v>90</v>
      </c>
      <c r="G25" s="41">
        <f t="shared" si="0"/>
        <v>524.70000000000005</v>
      </c>
    </row>
    <row r="26" spans="1:7" ht="14.25" customHeight="1" x14ac:dyDescent="0.25">
      <c r="A26" s="30"/>
      <c r="B26" s="31">
        <v>45947</v>
      </c>
      <c r="C26" s="32" t="s">
        <v>181</v>
      </c>
      <c r="D26" s="32" t="s">
        <v>178</v>
      </c>
      <c r="E26" s="33">
        <v>1.83</v>
      </c>
      <c r="F26" s="34">
        <v>90</v>
      </c>
      <c r="G26" s="34">
        <f t="shared" si="0"/>
        <v>164.70000000000002</v>
      </c>
    </row>
    <row r="27" spans="1:7" ht="14.25" customHeight="1" x14ac:dyDescent="0.25">
      <c r="A27" s="37"/>
      <c r="B27" s="38">
        <v>45952</v>
      </c>
      <c r="C27" s="39" t="s">
        <v>179</v>
      </c>
      <c r="D27" s="39" t="s">
        <v>178</v>
      </c>
      <c r="E27" s="40">
        <v>2.33</v>
      </c>
      <c r="F27" s="41">
        <v>90</v>
      </c>
      <c r="G27" s="41">
        <f t="shared" si="0"/>
        <v>209.70000000000002</v>
      </c>
    </row>
    <row r="28" spans="1:7" ht="14.25" customHeight="1" x14ac:dyDescent="0.25">
      <c r="A28" s="30"/>
      <c r="B28" s="31">
        <v>45974</v>
      </c>
      <c r="C28" s="32" t="s">
        <v>179</v>
      </c>
      <c r="D28" s="32" t="s">
        <v>178</v>
      </c>
      <c r="E28" s="33">
        <v>2.17</v>
      </c>
      <c r="F28" s="34">
        <v>90</v>
      </c>
      <c r="G28" s="34">
        <f t="shared" si="0"/>
        <v>195.29999999999998</v>
      </c>
    </row>
    <row r="29" spans="1:7" ht="14.25" customHeight="1" x14ac:dyDescent="0.25">
      <c r="A29" s="37"/>
      <c r="B29" s="38">
        <v>45979</v>
      </c>
      <c r="C29" s="39" t="s">
        <v>181</v>
      </c>
      <c r="D29" s="39" t="s">
        <v>178</v>
      </c>
      <c r="E29" s="40">
        <v>0.33</v>
      </c>
      <c r="F29" s="41">
        <v>90</v>
      </c>
      <c r="G29" s="41">
        <f t="shared" si="0"/>
        <v>29.700000000000003</v>
      </c>
    </row>
    <row r="30" spans="1:7" ht="14.25" customHeight="1" x14ac:dyDescent="0.25">
      <c r="A30" s="30"/>
      <c r="B30" s="31">
        <v>45994</v>
      </c>
      <c r="C30" s="32" t="s">
        <v>181</v>
      </c>
      <c r="D30" s="32" t="s">
        <v>178</v>
      </c>
      <c r="E30" s="33">
        <v>6.33</v>
      </c>
      <c r="F30" s="34">
        <v>90</v>
      </c>
      <c r="G30" s="34">
        <f t="shared" si="0"/>
        <v>569.70000000000005</v>
      </c>
    </row>
    <row r="31" spans="1:7" ht="14.25" customHeight="1" x14ac:dyDescent="0.25">
      <c r="A31" s="37"/>
      <c r="B31" s="38">
        <v>46000</v>
      </c>
      <c r="C31" s="39" t="s">
        <v>179</v>
      </c>
      <c r="D31" s="39" t="s">
        <v>178</v>
      </c>
      <c r="E31" s="40">
        <v>1.17</v>
      </c>
      <c r="F31" s="41">
        <v>90</v>
      </c>
      <c r="G31" s="41">
        <f t="shared" si="0"/>
        <v>105.3</v>
      </c>
    </row>
    <row r="32" spans="1:7" ht="14.25" customHeight="1" x14ac:dyDescent="0.25">
      <c r="A32" s="30"/>
      <c r="B32" s="31">
        <v>46003</v>
      </c>
      <c r="C32" s="32" t="s">
        <v>180</v>
      </c>
      <c r="D32" s="32" t="s">
        <v>178</v>
      </c>
      <c r="E32" s="33">
        <v>4.5</v>
      </c>
      <c r="F32" s="34">
        <v>90</v>
      </c>
      <c r="G32" s="34">
        <f t="shared" si="0"/>
        <v>405</v>
      </c>
    </row>
    <row r="33" spans="1:7" ht="14.25" customHeight="1" x14ac:dyDescent="0.25">
      <c r="A33" s="37"/>
      <c r="B33" s="38">
        <v>46007</v>
      </c>
      <c r="C33" s="39" t="s">
        <v>181</v>
      </c>
      <c r="D33" s="39" t="s">
        <v>178</v>
      </c>
      <c r="E33" s="40">
        <v>3.67</v>
      </c>
      <c r="F33" s="41">
        <v>90</v>
      </c>
      <c r="G33" s="41">
        <f t="shared" si="0"/>
        <v>330.3</v>
      </c>
    </row>
    <row r="34" spans="1:7" ht="14.25" customHeight="1" x14ac:dyDescent="0.25">
      <c r="A34" s="30"/>
      <c r="B34" s="31">
        <v>46043</v>
      </c>
      <c r="C34" s="32" t="s">
        <v>180</v>
      </c>
      <c r="D34" s="32" t="s">
        <v>178</v>
      </c>
      <c r="E34" s="33">
        <v>0.67</v>
      </c>
      <c r="F34" s="34">
        <v>90</v>
      </c>
      <c r="G34" s="34">
        <f t="shared" si="0"/>
        <v>60.300000000000004</v>
      </c>
    </row>
    <row r="35" spans="1:7" ht="14.25" customHeight="1" x14ac:dyDescent="0.25">
      <c r="A35" s="37"/>
      <c r="B35" s="38">
        <v>46129</v>
      </c>
      <c r="C35" s="39" t="s">
        <v>179</v>
      </c>
      <c r="D35" s="39" t="s">
        <v>178</v>
      </c>
      <c r="E35" s="40">
        <f>4.33-1.33</f>
        <v>3</v>
      </c>
      <c r="F35" s="41">
        <v>90</v>
      </c>
      <c r="G35" s="41">
        <f t="shared" si="0"/>
        <v>270</v>
      </c>
    </row>
    <row r="36" spans="1:7" ht="14.25" customHeight="1" x14ac:dyDescent="0.25">
      <c r="A36" s="30"/>
      <c r="B36" s="31">
        <v>46132</v>
      </c>
      <c r="C36" s="32" t="s">
        <v>177</v>
      </c>
      <c r="D36" s="32" t="s">
        <v>178</v>
      </c>
      <c r="E36" s="33">
        <v>2</v>
      </c>
      <c r="F36" s="34">
        <v>90</v>
      </c>
      <c r="G36" s="34">
        <f t="shared" si="0"/>
        <v>180</v>
      </c>
    </row>
    <row r="37" spans="1:7" ht="14.25" customHeight="1" x14ac:dyDescent="0.25">
      <c r="A37" s="37"/>
      <c r="B37" s="38">
        <v>46132</v>
      </c>
      <c r="C37" s="39" t="s">
        <v>179</v>
      </c>
      <c r="D37" s="39" t="s">
        <v>178</v>
      </c>
      <c r="E37" s="40">
        <v>2</v>
      </c>
      <c r="F37" s="41">
        <v>90</v>
      </c>
      <c r="G37" s="41">
        <f t="shared" si="0"/>
        <v>180</v>
      </c>
    </row>
    <row r="38" spans="1:7" ht="14.25" customHeight="1" x14ac:dyDescent="0.25">
      <c r="A38" s="30"/>
      <c r="B38" s="31">
        <v>46134</v>
      </c>
      <c r="C38" s="32" t="s">
        <v>179</v>
      </c>
      <c r="D38" s="32" t="s">
        <v>178</v>
      </c>
      <c r="E38" s="33">
        <f>2.67-1.17</f>
        <v>1.5</v>
      </c>
      <c r="F38" s="34">
        <v>90</v>
      </c>
      <c r="G38" s="34">
        <f t="shared" si="0"/>
        <v>135</v>
      </c>
    </row>
    <row r="39" spans="1:7" ht="14.25" customHeight="1" x14ac:dyDescent="0.25">
      <c r="A39" s="37"/>
      <c r="B39" s="38">
        <v>46140</v>
      </c>
      <c r="C39" s="39" t="s">
        <v>179</v>
      </c>
      <c r="D39" s="39" t="s">
        <v>178</v>
      </c>
      <c r="E39" s="40">
        <v>2.08</v>
      </c>
      <c r="F39" s="41">
        <v>90</v>
      </c>
      <c r="G39" s="41">
        <f t="shared" si="0"/>
        <v>187.20000000000002</v>
      </c>
    </row>
    <row r="40" spans="1:7" ht="14.25" customHeight="1" x14ac:dyDescent="0.25">
      <c r="A40" s="30"/>
      <c r="B40" s="31">
        <v>46141</v>
      </c>
      <c r="C40" s="32" t="s">
        <v>179</v>
      </c>
      <c r="D40" s="32" t="s">
        <v>178</v>
      </c>
      <c r="E40" s="33">
        <v>2.25</v>
      </c>
      <c r="F40" s="34">
        <v>90</v>
      </c>
      <c r="G40" s="34">
        <f t="shared" si="0"/>
        <v>202.5</v>
      </c>
    </row>
    <row r="41" spans="1:7" ht="14.25" customHeight="1" x14ac:dyDescent="0.25">
      <c r="A41" s="37"/>
      <c r="B41" s="38">
        <v>46142</v>
      </c>
      <c r="C41" s="39" t="s">
        <v>179</v>
      </c>
      <c r="D41" s="39" t="s">
        <v>178</v>
      </c>
      <c r="E41" s="42">
        <f>2.33-1.17</f>
        <v>1.1600000000000001</v>
      </c>
      <c r="F41" s="41">
        <v>90</v>
      </c>
      <c r="G41" s="43">
        <f t="shared" si="0"/>
        <v>104.4</v>
      </c>
    </row>
    <row r="42" spans="1:7" ht="14.25" customHeight="1" x14ac:dyDescent="0.25">
      <c r="A42" s="37"/>
      <c r="B42" s="38">
        <v>46146</v>
      </c>
      <c r="C42" s="39" t="s">
        <v>179</v>
      </c>
      <c r="D42" s="39" t="s">
        <v>178</v>
      </c>
      <c r="E42" s="59">
        <v>1</v>
      </c>
      <c r="F42" s="41">
        <v>90</v>
      </c>
      <c r="G42" s="43">
        <f t="shared" ref="G42:G53" si="1">E42*F42</f>
        <v>90</v>
      </c>
    </row>
    <row r="43" spans="1:7" ht="14.25" customHeight="1" x14ac:dyDescent="0.25">
      <c r="A43" s="37"/>
      <c r="B43" s="38">
        <v>46148</v>
      </c>
      <c r="C43" s="39" t="s">
        <v>179</v>
      </c>
      <c r="D43" s="39" t="s">
        <v>178</v>
      </c>
      <c r="E43" s="59">
        <v>0.67</v>
      </c>
      <c r="F43" s="41">
        <v>90</v>
      </c>
      <c r="G43" s="43">
        <f t="shared" si="1"/>
        <v>60.300000000000004</v>
      </c>
    </row>
    <row r="44" spans="1:7" ht="14.25" customHeight="1" x14ac:dyDescent="0.25">
      <c r="A44" s="37"/>
      <c r="B44" s="38">
        <v>46148</v>
      </c>
      <c r="C44" s="39" t="s">
        <v>179</v>
      </c>
      <c r="D44" s="39" t="s">
        <v>178</v>
      </c>
      <c r="E44" s="59">
        <v>0.41</v>
      </c>
      <c r="F44" s="41">
        <v>90</v>
      </c>
      <c r="G44" s="43">
        <f t="shared" si="1"/>
        <v>36.9</v>
      </c>
    </row>
    <row r="45" spans="1:7" ht="14.25" customHeight="1" x14ac:dyDescent="0.25">
      <c r="A45" s="37"/>
      <c r="B45" s="38">
        <v>46153</v>
      </c>
      <c r="C45" s="39" t="s">
        <v>179</v>
      </c>
      <c r="D45" s="39" t="s">
        <v>178</v>
      </c>
      <c r="E45" s="59">
        <v>1.58</v>
      </c>
      <c r="F45" s="41">
        <v>90</v>
      </c>
      <c r="G45" s="43">
        <f t="shared" si="1"/>
        <v>142.20000000000002</v>
      </c>
    </row>
    <row r="46" spans="1:7" ht="14.25" customHeight="1" x14ac:dyDescent="0.25">
      <c r="A46" s="37"/>
      <c r="B46" s="38">
        <v>46156</v>
      </c>
      <c r="C46" s="39" t="s">
        <v>179</v>
      </c>
      <c r="D46" s="39" t="s">
        <v>178</v>
      </c>
      <c r="E46" s="59">
        <v>1.83</v>
      </c>
      <c r="F46" s="41">
        <v>90</v>
      </c>
      <c r="G46" s="43">
        <f t="shared" si="1"/>
        <v>164.70000000000002</v>
      </c>
    </row>
    <row r="47" spans="1:7" ht="14.25" customHeight="1" x14ac:dyDescent="0.25">
      <c r="A47" s="37"/>
      <c r="B47" s="38">
        <v>46156</v>
      </c>
      <c r="C47" s="39" t="s">
        <v>179</v>
      </c>
      <c r="D47" s="39" t="s">
        <v>178</v>
      </c>
      <c r="E47" s="59">
        <v>0.57999999999999996</v>
      </c>
      <c r="F47" s="41">
        <v>90</v>
      </c>
      <c r="G47" s="43">
        <f t="shared" si="1"/>
        <v>52.199999999999996</v>
      </c>
    </row>
    <row r="48" spans="1:7" ht="14.25" customHeight="1" x14ac:dyDescent="0.25">
      <c r="A48" s="37"/>
      <c r="B48" s="38">
        <v>46161</v>
      </c>
      <c r="C48" s="39" t="s">
        <v>179</v>
      </c>
      <c r="D48" s="39" t="s">
        <v>178</v>
      </c>
      <c r="E48" s="59">
        <v>3.58</v>
      </c>
      <c r="F48" s="41">
        <v>90</v>
      </c>
      <c r="G48" s="43">
        <f t="shared" si="1"/>
        <v>322.2</v>
      </c>
    </row>
    <row r="49" spans="1:7" ht="14.25" customHeight="1" x14ac:dyDescent="0.25">
      <c r="A49" s="37"/>
      <c r="B49" s="38">
        <v>46163</v>
      </c>
      <c r="C49" s="39" t="s">
        <v>179</v>
      </c>
      <c r="D49" s="39" t="s">
        <v>178</v>
      </c>
      <c r="E49" s="59">
        <v>0.25</v>
      </c>
      <c r="F49" s="41">
        <v>90</v>
      </c>
      <c r="G49" s="43">
        <f t="shared" si="1"/>
        <v>22.5</v>
      </c>
    </row>
    <row r="50" spans="1:7" ht="14.25" customHeight="1" x14ac:dyDescent="0.25">
      <c r="A50" s="37"/>
      <c r="B50" s="38">
        <v>46163</v>
      </c>
      <c r="C50" s="39" t="s">
        <v>179</v>
      </c>
      <c r="D50" s="39" t="s">
        <v>178</v>
      </c>
      <c r="E50" s="59">
        <v>0.33</v>
      </c>
      <c r="F50" s="41">
        <v>90</v>
      </c>
      <c r="G50" s="43">
        <f t="shared" si="1"/>
        <v>29.700000000000003</v>
      </c>
    </row>
    <row r="51" spans="1:7" ht="14.25" customHeight="1" x14ac:dyDescent="0.25">
      <c r="A51" s="37"/>
      <c r="B51" s="38">
        <v>46167</v>
      </c>
      <c r="C51" s="39" t="s">
        <v>179</v>
      </c>
      <c r="D51" s="39" t="s">
        <v>178</v>
      </c>
      <c r="E51" s="59">
        <v>1.08</v>
      </c>
      <c r="F51" s="41">
        <v>90</v>
      </c>
      <c r="G51" s="43">
        <f t="shared" si="1"/>
        <v>97.2</v>
      </c>
    </row>
    <row r="52" spans="1:7" ht="14.25" customHeight="1" x14ac:dyDescent="0.25">
      <c r="A52" s="37"/>
      <c r="B52" s="38">
        <v>46170</v>
      </c>
      <c r="C52" s="39" t="s">
        <v>177</v>
      </c>
      <c r="D52" s="39" t="s">
        <v>178</v>
      </c>
      <c r="E52" s="59">
        <v>3</v>
      </c>
      <c r="F52" s="41">
        <v>90</v>
      </c>
      <c r="G52" s="43">
        <f t="shared" si="1"/>
        <v>270</v>
      </c>
    </row>
    <row r="53" spans="1:7" ht="14.25" customHeight="1" x14ac:dyDescent="0.25">
      <c r="A53" s="37"/>
      <c r="B53" s="38">
        <v>46170</v>
      </c>
      <c r="C53" s="39" t="s">
        <v>179</v>
      </c>
      <c r="D53" s="39" t="s">
        <v>178</v>
      </c>
      <c r="E53" s="59">
        <v>2.91</v>
      </c>
      <c r="F53" s="41">
        <v>90</v>
      </c>
      <c r="G53" s="43">
        <f t="shared" si="1"/>
        <v>261.90000000000003</v>
      </c>
    </row>
    <row r="54" spans="1:7" ht="14.25" customHeight="1" x14ac:dyDescent="0.25">
      <c r="A54" s="25" t="s">
        <v>182</v>
      </c>
      <c r="B54" s="44"/>
      <c r="C54" s="25"/>
      <c r="D54" s="45"/>
      <c r="E54" s="46">
        <f>SUM(E4:E53)</f>
        <v>130.4</v>
      </c>
      <c r="F54" s="47"/>
      <c r="G54" s="48">
        <f>SUM(G4:G53)</f>
        <v>11736.000000000002</v>
      </c>
    </row>
    <row r="55" spans="1:7" ht="14.25" customHeight="1" x14ac:dyDescent="0.25">
      <c r="A55" s="25" t="s">
        <v>183</v>
      </c>
      <c r="B55" s="44"/>
      <c r="C55" s="25"/>
      <c r="D55" s="25"/>
      <c r="E55" s="49"/>
      <c r="F55" s="29"/>
      <c r="G55" s="50"/>
    </row>
    <row r="56" spans="1:7" ht="14.25" customHeight="1" x14ac:dyDescent="0.25">
      <c r="A56" s="30"/>
      <c r="B56" s="31">
        <v>46129</v>
      </c>
      <c r="C56" s="32" t="s">
        <v>179</v>
      </c>
      <c r="D56" s="32" t="s">
        <v>178</v>
      </c>
      <c r="E56" s="33">
        <v>1.33</v>
      </c>
      <c r="F56" s="34">
        <v>90</v>
      </c>
      <c r="G56" s="34">
        <f t="shared" ref="G56:G59" si="2">E56*F56</f>
        <v>119.7</v>
      </c>
    </row>
    <row r="57" spans="1:7" ht="14.25" customHeight="1" x14ac:dyDescent="0.25">
      <c r="A57" s="37"/>
      <c r="B57" s="38">
        <v>46132</v>
      </c>
      <c r="C57" s="39" t="s">
        <v>179</v>
      </c>
      <c r="D57" s="39" t="s">
        <v>178</v>
      </c>
      <c r="E57" s="40">
        <v>1.17</v>
      </c>
      <c r="F57" s="34">
        <v>90</v>
      </c>
      <c r="G57" s="34">
        <f t="shared" si="2"/>
        <v>105.3</v>
      </c>
    </row>
    <row r="58" spans="1:7" ht="14.25" customHeight="1" x14ac:dyDescent="0.25">
      <c r="A58" s="30"/>
      <c r="B58" s="31">
        <v>46134</v>
      </c>
      <c r="C58" s="32" t="s">
        <v>179</v>
      </c>
      <c r="D58" s="32" t="s">
        <v>178</v>
      </c>
      <c r="E58" s="33">
        <v>1.17</v>
      </c>
      <c r="F58" s="34">
        <v>90</v>
      </c>
      <c r="G58" s="34">
        <f t="shared" si="2"/>
        <v>105.3</v>
      </c>
    </row>
    <row r="59" spans="1:7" ht="14.25" customHeight="1" x14ac:dyDescent="0.25">
      <c r="A59" s="37"/>
      <c r="B59" s="38">
        <v>46142</v>
      </c>
      <c r="C59" s="39" t="s">
        <v>179</v>
      </c>
      <c r="D59" s="39" t="s">
        <v>178</v>
      </c>
      <c r="E59" s="42">
        <v>1.17</v>
      </c>
      <c r="F59" s="34">
        <v>90</v>
      </c>
      <c r="G59" s="34">
        <f t="shared" si="2"/>
        <v>105.3</v>
      </c>
    </row>
    <row r="60" spans="1:7" ht="14.25" customHeight="1" x14ac:dyDescent="0.25">
      <c r="A60" s="60"/>
      <c r="B60" s="61">
        <v>46148</v>
      </c>
      <c r="C60" s="62" t="s">
        <v>179</v>
      </c>
      <c r="D60" s="63" t="s">
        <v>178</v>
      </c>
      <c r="E60" s="59">
        <v>1.17</v>
      </c>
      <c r="F60" s="34">
        <v>90</v>
      </c>
      <c r="G60" s="34">
        <f t="shared" ref="G60:G66" si="3">E60*F60</f>
        <v>105.3</v>
      </c>
    </row>
    <row r="61" spans="1:7" ht="14.25" customHeight="1" x14ac:dyDescent="0.25">
      <c r="A61" s="60"/>
      <c r="B61" s="61">
        <v>46153</v>
      </c>
      <c r="C61" s="62" t="s">
        <v>179</v>
      </c>
      <c r="D61" s="63" t="s">
        <v>178</v>
      </c>
      <c r="E61" s="59">
        <v>1.17</v>
      </c>
      <c r="F61" s="34">
        <v>90</v>
      </c>
      <c r="G61" s="34">
        <f t="shared" si="3"/>
        <v>105.3</v>
      </c>
    </row>
    <row r="62" spans="1:7" ht="14.25" customHeight="1" x14ac:dyDescent="0.25">
      <c r="A62" s="60"/>
      <c r="B62" s="61">
        <v>46156</v>
      </c>
      <c r="C62" s="62" t="s">
        <v>179</v>
      </c>
      <c r="D62" s="63" t="s">
        <v>178</v>
      </c>
      <c r="E62" s="59">
        <v>1.17</v>
      </c>
      <c r="F62" s="34">
        <v>90</v>
      </c>
      <c r="G62" s="34">
        <f t="shared" si="3"/>
        <v>105.3</v>
      </c>
    </row>
    <row r="63" spans="1:7" ht="14.25" customHeight="1" x14ac:dyDescent="0.25">
      <c r="A63" s="60"/>
      <c r="B63" s="61">
        <v>46161</v>
      </c>
      <c r="C63" s="62" t="s">
        <v>179</v>
      </c>
      <c r="D63" s="63" t="s">
        <v>178</v>
      </c>
      <c r="E63" s="59">
        <v>1.17</v>
      </c>
      <c r="F63" s="34">
        <v>90</v>
      </c>
      <c r="G63" s="34">
        <f t="shared" si="3"/>
        <v>105.3</v>
      </c>
    </row>
    <row r="64" spans="1:7" ht="14.25" customHeight="1" x14ac:dyDescent="0.25">
      <c r="A64" s="60"/>
      <c r="B64" s="61">
        <v>46163</v>
      </c>
      <c r="C64" s="62" t="s">
        <v>179</v>
      </c>
      <c r="D64" s="63" t="s">
        <v>178</v>
      </c>
      <c r="E64" s="59">
        <v>1.17</v>
      </c>
      <c r="F64" s="34">
        <v>90</v>
      </c>
      <c r="G64" s="34">
        <f t="shared" si="3"/>
        <v>105.3</v>
      </c>
    </row>
    <row r="65" spans="1:7" ht="14.25" customHeight="1" x14ac:dyDescent="0.25">
      <c r="A65" s="60"/>
      <c r="B65" s="61">
        <v>46167</v>
      </c>
      <c r="C65" s="62" t="s">
        <v>179</v>
      </c>
      <c r="D65" s="63" t="s">
        <v>178</v>
      </c>
      <c r="E65" s="59">
        <v>1.17</v>
      </c>
      <c r="F65" s="34">
        <v>90</v>
      </c>
      <c r="G65" s="34">
        <f t="shared" si="3"/>
        <v>105.3</v>
      </c>
    </row>
    <row r="66" spans="1:7" ht="14.25" customHeight="1" x14ac:dyDescent="0.25">
      <c r="A66" s="60"/>
      <c r="B66" s="61">
        <v>46170</v>
      </c>
      <c r="C66" s="62" t="s">
        <v>179</v>
      </c>
      <c r="D66" s="63" t="s">
        <v>178</v>
      </c>
      <c r="E66" s="59">
        <v>1.17</v>
      </c>
      <c r="F66" s="34">
        <v>90</v>
      </c>
      <c r="G66" s="34">
        <f t="shared" si="3"/>
        <v>105.3</v>
      </c>
    </row>
    <row r="67" spans="1:7" ht="14.25" customHeight="1" x14ac:dyDescent="0.25">
      <c r="A67" s="25" t="s">
        <v>282</v>
      </c>
      <c r="B67" s="51"/>
      <c r="C67" s="51"/>
      <c r="D67" s="52"/>
      <c r="E67" s="53">
        <f>SUM(E56:E66)</f>
        <v>13.03</v>
      </c>
      <c r="F67" s="54"/>
      <c r="G67" s="48">
        <f>SUM(G56:G66)</f>
        <v>1172.6999999999998</v>
      </c>
    </row>
    <row r="68" spans="1:7" ht="14.25" customHeight="1" x14ac:dyDescent="0.25">
      <c r="A68" s="55" t="s">
        <v>184</v>
      </c>
      <c r="B68" s="56"/>
      <c r="C68" s="56"/>
      <c r="D68" s="56"/>
      <c r="E68" s="57">
        <f>E54+E67</f>
        <v>143.43</v>
      </c>
      <c r="F68" s="58"/>
      <c r="G68" s="58">
        <f>G54+G67</f>
        <v>12908.7</v>
      </c>
    </row>
  </sheetData>
  <pageMargins left="0.14000000000000001" right="0.08" top="0.13" bottom="0.39" header="0" footer="0"/>
  <pageSetup orientation="landscape"/>
  <headerFoot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3"/>
  <sheetViews>
    <sheetView tabSelected="1" zoomScale="55" zoomScaleNormal="55" workbookViewId="0">
      <selection activeCell="G45" sqref="G45"/>
    </sheetView>
  </sheetViews>
  <sheetFormatPr defaultColWidth="14.42578125" defaultRowHeight="15" customHeight="1" x14ac:dyDescent="0.25"/>
  <cols>
    <col min="1" max="1" width="48" bestFit="1" customWidth="1"/>
    <col min="2" max="2" width="20" customWidth="1"/>
    <col min="3" max="3" width="15.28515625" customWidth="1"/>
    <col min="4" max="4" width="20" customWidth="1"/>
    <col min="5" max="5" width="64.7109375" customWidth="1"/>
    <col min="6" max="6" width="18.140625" customWidth="1"/>
    <col min="7" max="7" width="16.28515625" customWidth="1"/>
    <col min="8" max="26" width="8.7109375" customWidth="1"/>
  </cols>
  <sheetData>
    <row r="1" spans="1:6" ht="15" customHeight="1" x14ac:dyDescent="0.25">
      <c r="A1" s="65"/>
      <c r="B1" s="65"/>
      <c r="C1" s="65"/>
      <c r="D1" s="65"/>
      <c r="E1" s="65"/>
      <c r="F1" s="65"/>
    </row>
    <row r="2" spans="1:6" ht="27.75" customHeight="1" x14ac:dyDescent="0.25">
      <c r="A2" s="64" t="s">
        <v>0</v>
      </c>
      <c r="B2" s="64" t="s">
        <v>185</v>
      </c>
      <c r="C2" s="64" t="s">
        <v>170</v>
      </c>
      <c r="D2" s="64" t="s">
        <v>186</v>
      </c>
      <c r="E2" s="64" t="s">
        <v>187</v>
      </c>
      <c r="F2" s="64" t="s">
        <v>175</v>
      </c>
    </row>
    <row r="3" spans="1:6" ht="14.25" customHeight="1" x14ac:dyDescent="0.25">
      <c r="A3" s="74" t="s">
        <v>228</v>
      </c>
      <c r="B3" s="75"/>
      <c r="C3" s="76"/>
      <c r="D3" s="75"/>
      <c r="E3" s="74"/>
      <c r="F3" s="77"/>
    </row>
    <row r="4" spans="1:6" ht="14.25" customHeight="1" thickBot="1" x14ac:dyDescent="0.3">
      <c r="A4" s="66"/>
      <c r="B4" s="67" t="s">
        <v>189</v>
      </c>
      <c r="C4" s="68">
        <v>46169</v>
      </c>
      <c r="D4" s="67" t="s">
        <v>229</v>
      </c>
      <c r="E4" s="66" t="s">
        <v>230</v>
      </c>
      <c r="F4" s="82">
        <v>2735.6</v>
      </c>
    </row>
    <row r="5" spans="1:6" ht="14.25" customHeight="1" x14ac:dyDescent="0.25">
      <c r="A5" s="78" t="s">
        <v>231</v>
      </c>
      <c r="B5" s="79"/>
      <c r="C5" s="80"/>
      <c r="D5" s="79"/>
      <c r="E5" s="81"/>
      <c r="F5" s="83">
        <f>SUM(F4:F4)</f>
        <v>2735.6</v>
      </c>
    </row>
    <row r="6" spans="1:6" ht="14.25" customHeight="1" x14ac:dyDescent="0.25">
      <c r="A6" s="78" t="s">
        <v>232</v>
      </c>
      <c r="B6" s="79"/>
      <c r="C6" s="80"/>
      <c r="D6" s="79"/>
      <c r="E6" s="78"/>
      <c r="F6" s="77"/>
    </row>
    <row r="7" spans="1:6" ht="14.25" customHeight="1" x14ac:dyDescent="0.25">
      <c r="A7" s="70"/>
      <c r="B7" s="71" t="s">
        <v>189</v>
      </c>
      <c r="C7" s="72">
        <v>46171</v>
      </c>
      <c r="D7" s="71" t="s">
        <v>233</v>
      </c>
      <c r="E7" s="70" t="s">
        <v>278</v>
      </c>
      <c r="F7" s="73">
        <v>75</v>
      </c>
    </row>
    <row r="8" spans="1:6" ht="14.25" customHeight="1" thickBot="1" x14ac:dyDescent="0.3">
      <c r="A8" s="66"/>
      <c r="B8" s="67" t="s">
        <v>189</v>
      </c>
      <c r="C8" s="68">
        <v>46173</v>
      </c>
      <c r="D8" s="67" t="s">
        <v>234</v>
      </c>
      <c r="E8" s="66" t="s">
        <v>279</v>
      </c>
      <c r="F8" s="82">
        <v>22.58</v>
      </c>
    </row>
    <row r="9" spans="1:6" ht="14.25" customHeight="1" x14ac:dyDescent="0.25">
      <c r="A9" s="78" t="s">
        <v>235</v>
      </c>
      <c r="B9" s="79"/>
      <c r="C9" s="80"/>
      <c r="D9" s="79"/>
      <c r="E9" s="81"/>
      <c r="F9" s="83">
        <f>SUM(F7:F8)</f>
        <v>97.58</v>
      </c>
    </row>
    <row r="10" spans="1:6" ht="14.25" customHeight="1" x14ac:dyDescent="0.25">
      <c r="A10" s="78" t="s">
        <v>188</v>
      </c>
      <c r="B10" s="79"/>
      <c r="C10" s="80"/>
      <c r="D10" s="79"/>
      <c r="E10" s="78"/>
      <c r="F10" s="77"/>
    </row>
    <row r="11" spans="1:6" ht="14.25" customHeight="1" thickBot="1" x14ac:dyDescent="0.3">
      <c r="A11" s="70"/>
      <c r="B11" s="71" t="s">
        <v>189</v>
      </c>
      <c r="C11" s="72">
        <v>45949</v>
      </c>
      <c r="D11" s="71" t="s">
        <v>190</v>
      </c>
      <c r="E11" s="70" t="s">
        <v>191</v>
      </c>
      <c r="F11" s="84">
        <v>975</v>
      </c>
    </row>
    <row r="12" spans="1:6" ht="14.25" customHeight="1" x14ac:dyDescent="0.25">
      <c r="A12" s="78" t="s">
        <v>192</v>
      </c>
      <c r="B12" s="79"/>
      <c r="C12" s="80"/>
      <c r="D12" s="79"/>
      <c r="E12" s="81"/>
      <c r="F12" s="83">
        <f>SUM(F11:F11)</f>
        <v>975</v>
      </c>
    </row>
    <row r="13" spans="1:6" ht="14.25" customHeight="1" x14ac:dyDescent="0.25">
      <c r="A13" s="78" t="s">
        <v>236</v>
      </c>
      <c r="B13" s="79"/>
      <c r="C13" s="80"/>
      <c r="D13" s="79"/>
      <c r="E13" s="78"/>
      <c r="F13" s="77"/>
    </row>
    <row r="14" spans="1:6" ht="14.25" customHeight="1" x14ac:dyDescent="0.25">
      <c r="A14" s="66"/>
      <c r="B14" s="67" t="s">
        <v>189</v>
      </c>
      <c r="C14" s="68">
        <v>46154</v>
      </c>
      <c r="D14" s="67" t="s">
        <v>237</v>
      </c>
      <c r="E14" s="66" t="s">
        <v>238</v>
      </c>
      <c r="F14" s="69">
        <v>6107.56</v>
      </c>
    </row>
    <row r="15" spans="1:6" ht="14.25" customHeight="1" thickBot="1" x14ac:dyDescent="0.3">
      <c r="A15" s="70"/>
      <c r="B15" s="71" t="s">
        <v>189</v>
      </c>
      <c r="C15" s="72">
        <v>46163</v>
      </c>
      <c r="D15" s="71" t="s">
        <v>239</v>
      </c>
      <c r="E15" s="70" t="s">
        <v>240</v>
      </c>
      <c r="F15" s="84">
        <v>7698.65</v>
      </c>
    </row>
    <row r="16" spans="1:6" ht="14.25" customHeight="1" x14ac:dyDescent="0.25">
      <c r="A16" s="78" t="s">
        <v>241</v>
      </c>
      <c r="B16" s="79"/>
      <c r="C16" s="80"/>
      <c r="D16" s="79"/>
      <c r="E16" s="81"/>
      <c r="F16" s="83">
        <f>SUM(F14:F15)</f>
        <v>13806.21</v>
      </c>
    </row>
    <row r="17" spans="1:26" ht="14.25" customHeight="1" x14ac:dyDescent="0.25">
      <c r="A17" s="78" t="s">
        <v>242</v>
      </c>
      <c r="B17" s="79"/>
      <c r="C17" s="80"/>
      <c r="D17" s="79"/>
      <c r="E17" s="78"/>
      <c r="F17" s="77"/>
    </row>
    <row r="18" spans="1:26" ht="14.25" customHeight="1" x14ac:dyDescent="0.25">
      <c r="A18" s="66"/>
      <c r="B18" s="67" t="s">
        <v>189</v>
      </c>
      <c r="C18" s="68">
        <v>46154</v>
      </c>
      <c r="D18" s="67" t="s">
        <v>243</v>
      </c>
      <c r="E18" s="66" t="s">
        <v>244</v>
      </c>
      <c r="F18" s="69">
        <v>1482.88</v>
      </c>
    </row>
    <row r="19" spans="1:26" ht="14.25" customHeight="1" thickBot="1" x14ac:dyDescent="0.3">
      <c r="A19" s="70"/>
      <c r="B19" s="71" t="s">
        <v>189</v>
      </c>
      <c r="C19" s="72">
        <v>46163</v>
      </c>
      <c r="D19" s="71" t="s">
        <v>245</v>
      </c>
      <c r="E19" s="70" t="s">
        <v>246</v>
      </c>
      <c r="F19" s="84">
        <v>1750</v>
      </c>
    </row>
    <row r="20" spans="1:26" ht="14.25" customHeight="1" x14ac:dyDescent="0.25">
      <c r="A20" s="78" t="s">
        <v>247</v>
      </c>
      <c r="B20" s="79"/>
      <c r="C20" s="80"/>
      <c r="D20" s="79"/>
      <c r="E20" s="81"/>
      <c r="F20" s="83">
        <f>SUM(F18:F19)</f>
        <v>3232.88</v>
      </c>
    </row>
    <row r="21" spans="1:26" ht="14.25" customHeight="1" x14ac:dyDescent="0.25">
      <c r="A21" s="78" t="s">
        <v>193</v>
      </c>
      <c r="B21" s="79"/>
      <c r="C21" s="80"/>
      <c r="D21" s="79"/>
      <c r="E21" s="78"/>
      <c r="F21" s="77"/>
    </row>
    <row r="22" spans="1:26" ht="14.25" customHeight="1" thickBot="1" x14ac:dyDescent="0.3">
      <c r="A22" s="66"/>
      <c r="B22" s="67" t="s">
        <v>189</v>
      </c>
      <c r="C22" s="68">
        <v>46142</v>
      </c>
      <c r="D22" s="67" t="s">
        <v>280</v>
      </c>
      <c r="E22" s="66" t="s">
        <v>194</v>
      </c>
      <c r="F22" s="82">
        <v>1864.51</v>
      </c>
    </row>
    <row r="23" spans="1:26" ht="14.25" customHeight="1" x14ac:dyDescent="0.25">
      <c r="A23" s="78" t="s">
        <v>195</v>
      </c>
      <c r="B23" s="79"/>
      <c r="C23" s="80"/>
      <c r="D23" s="79"/>
      <c r="E23" s="81"/>
      <c r="F23" s="83">
        <f>SUM(F22:F22)</f>
        <v>1864.51</v>
      </c>
    </row>
    <row r="24" spans="1:26" ht="14.25" customHeight="1" x14ac:dyDescent="0.25">
      <c r="A24" s="78" t="s">
        <v>196</v>
      </c>
      <c r="B24" s="79"/>
      <c r="C24" s="80"/>
      <c r="D24" s="79"/>
      <c r="E24" s="78"/>
      <c r="F24" s="77"/>
    </row>
    <row r="25" spans="1:26" ht="14.25" customHeight="1" x14ac:dyDescent="0.25">
      <c r="A25" s="70"/>
      <c r="B25" s="71" t="s">
        <v>189</v>
      </c>
      <c r="C25" s="72">
        <v>45974</v>
      </c>
      <c r="D25" s="71" t="s">
        <v>197</v>
      </c>
      <c r="E25" s="70" t="s">
        <v>198</v>
      </c>
      <c r="F25" s="73">
        <v>3760.4</v>
      </c>
    </row>
    <row r="26" spans="1:26" ht="14.25" customHeight="1" x14ac:dyDescent="0.25">
      <c r="A26" s="66"/>
      <c r="B26" s="67" t="s">
        <v>189</v>
      </c>
      <c r="C26" s="68">
        <v>46063</v>
      </c>
      <c r="D26" s="67" t="s">
        <v>199</v>
      </c>
      <c r="E26" s="66" t="s">
        <v>200</v>
      </c>
      <c r="F26" s="69">
        <v>210.75</v>
      </c>
    </row>
    <row r="27" spans="1:26" ht="14.25" customHeight="1" thickBot="1" x14ac:dyDescent="0.3">
      <c r="A27" s="70"/>
      <c r="B27" s="71" t="s">
        <v>189</v>
      </c>
      <c r="C27" s="72">
        <v>46148</v>
      </c>
      <c r="D27" s="71" t="s">
        <v>248</v>
      </c>
      <c r="E27" s="70" t="s">
        <v>249</v>
      </c>
      <c r="F27" s="84">
        <v>892.5</v>
      </c>
    </row>
    <row r="28" spans="1:26" ht="14.25" customHeight="1" x14ac:dyDescent="0.25">
      <c r="A28" s="78" t="s">
        <v>201</v>
      </c>
      <c r="B28" s="79"/>
      <c r="C28" s="80"/>
      <c r="D28" s="79"/>
      <c r="E28" s="81"/>
      <c r="F28" s="83">
        <f>SUM(F25:F27)</f>
        <v>4863.6499999999996</v>
      </c>
    </row>
    <row r="29" spans="1:26" ht="14.25" customHeight="1" x14ac:dyDescent="0.25">
      <c r="A29" s="78" t="s">
        <v>250</v>
      </c>
      <c r="B29" s="79"/>
      <c r="C29" s="80"/>
      <c r="D29" s="79"/>
      <c r="E29" s="78"/>
      <c r="F29" s="77"/>
    </row>
    <row r="30" spans="1:26" ht="14.25" customHeight="1" x14ac:dyDescent="0.25">
      <c r="A30" s="66"/>
      <c r="B30" s="67" t="s">
        <v>189</v>
      </c>
      <c r="C30" s="68">
        <v>46170</v>
      </c>
      <c r="D30" s="67" t="s">
        <v>251</v>
      </c>
      <c r="E30" s="66" t="s">
        <v>252</v>
      </c>
      <c r="F30" s="69">
        <v>17635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thickBot="1" x14ac:dyDescent="0.3">
      <c r="A31" s="70"/>
      <c r="B31" s="71" t="s">
        <v>189</v>
      </c>
      <c r="C31" s="72">
        <v>46170</v>
      </c>
      <c r="D31" s="71" t="s">
        <v>251</v>
      </c>
      <c r="E31" s="70" t="s">
        <v>253</v>
      </c>
      <c r="F31" s="84">
        <v>11431.25</v>
      </c>
    </row>
    <row r="32" spans="1:26" ht="15" customHeight="1" x14ac:dyDescent="0.25">
      <c r="A32" s="78" t="s">
        <v>254</v>
      </c>
      <c r="B32" s="79"/>
      <c r="C32" s="80"/>
      <c r="D32" s="79"/>
      <c r="E32" s="81"/>
      <c r="F32" s="83">
        <f>SUM(F30:F31)</f>
        <v>29066.25</v>
      </c>
    </row>
    <row r="33" spans="1:6" ht="15" customHeight="1" x14ac:dyDescent="0.25">
      <c r="A33" s="78" t="s">
        <v>202</v>
      </c>
      <c r="B33" s="79"/>
      <c r="C33" s="80"/>
      <c r="D33" s="79"/>
      <c r="E33" s="78"/>
      <c r="F33" s="77"/>
    </row>
    <row r="34" spans="1:6" ht="15" customHeight="1" x14ac:dyDescent="0.25">
      <c r="A34" s="66"/>
      <c r="B34" s="67" t="s">
        <v>189</v>
      </c>
      <c r="C34" s="68">
        <v>46038</v>
      </c>
      <c r="D34" s="67" t="s">
        <v>203</v>
      </c>
      <c r="E34" s="66" t="s">
        <v>204</v>
      </c>
      <c r="F34" s="69">
        <v>1800</v>
      </c>
    </row>
    <row r="35" spans="1:6" ht="15" customHeight="1" x14ac:dyDescent="0.25">
      <c r="A35" s="70"/>
      <c r="B35" s="71" t="s">
        <v>189</v>
      </c>
      <c r="C35" s="72">
        <v>46142</v>
      </c>
      <c r="D35" s="71" t="s">
        <v>205</v>
      </c>
      <c r="E35" s="70" t="s">
        <v>206</v>
      </c>
      <c r="F35" s="73">
        <v>7625</v>
      </c>
    </row>
    <row r="36" spans="1:6" ht="15" customHeight="1" thickBot="1" x14ac:dyDescent="0.3">
      <c r="A36" s="66"/>
      <c r="B36" s="67" t="s">
        <v>189</v>
      </c>
      <c r="C36" s="68">
        <v>46142</v>
      </c>
      <c r="D36" s="67" t="s">
        <v>205</v>
      </c>
      <c r="E36" s="66" t="s">
        <v>207</v>
      </c>
      <c r="F36" s="82">
        <v>1732.55</v>
      </c>
    </row>
    <row r="37" spans="1:6" ht="15" customHeight="1" x14ac:dyDescent="0.25">
      <c r="A37" s="78" t="s">
        <v>208</v>
      </c>
      <c r="B37" s="79"/>
      <c r="C37" s="80"/>
      <c r="D37" s="79"/>
      <c r="E37" s="81"/>
      <c r="F37" s="83">
        <f>SUM(F34:F36)</f>
        <v>11157.55</v>
      </c>
    </row>
    <row r="38" spans="1:6" ht="15" customHeight="1" x14ac:dyDescent="0.25">
      <c r="A38" s="78" t="s">
        <v>209</v>
      </c>
      <c r="B38" s="79"/>
      <c r="C38" s="80"/>
      <c r="D38" s="79"/>
      <c r="E38" s="78"/>
      <c r="F38" s="77"/>
    </row>
    <row r="39" spans="1:6" ht="15" customHeight="1" x14ac:dyDescent="0.25">
      <c r="A39" s="70"/>
      <c r="B39" s="71" t="s">
        <v>189</v>
      </c>
      <c r="C39" s="72">
        <v>46001</v>
      </c>
      <c r="D39" s="71" t="s">
        <v>210</v>
      </c>
      <c r="E39" s="70" t="s">
        <v>211</v>
      </c>
      <c r="F39" s="73">
        <v>3760</v>
      </c>
    </row>
    <row r="40" spans="1:6" ht="15" customHeight="1" x14ac:dyDescent="0.25">
      <c r="A40" s="66"/>
      <c r="B40" s="67" t="s">
        <v>189</v>
      </c>
      <c r="C40" s="68">
        <v>46062</v>
      </c>
      <c r="D40" s="67" t="s">
        <v>212</v>
      </c>
      <c r="E40" s="66" t="s">
        <v>213</v>
      </c>
      <c r="F40" s="69">
        <v>300</v>
      </c>
    </row>
    <row r="41" spans="1:6" ht="15" customHeight="1" x14ac:dyDescent="0.25">
      <c r="A41" s="70"/>
      <c r="B41" s="71" t="s">
        <v>189</v>
      </c>
      <c r="C41" s="72">
        <v>46122</v>
      </c>
      <c r="D41" s="71" t="s">
        <v>214</v>
      </c>
      <c r="E41" s="70" t="s">
        <v>215</v>
      </c>
      <c r="F41" s="73">
        <v>2477.4</v>
      </c>
    </row>
    <row r="42" spans="1:6" ht="15" customHeight="1" thickBot="1" x14ac:dyDescent="0.3">
      <c r="A42" s="66"/>
      <c r="B42" s="67" t="s">
        <v>189</v>
      </c>
      <c r="C42" s="68">
        <v>46153</v>
      </c>
      <c r="D42" s="67" t="s">
        <v>255</v>
      </c>
      <c r="E42" s="66" t="s">
        <v>256</v>
      </c>
      <c r="F42" s="82">
        <v>352.4</v>
      </c>
    </row>
    <row r="43" spans="1:6" ht="15" customHeight="1" x14ac:dyDescent="0.25">
      <c r="A43" s="78" t="s">
        <v>216</v>
      </c>
      <c r="B43" s="79"/>
      <c r="C43" s="80"/>
      <c r="D43" s="79"/>
      <c r="E43" s="81"/>
      <c r="F43" s="83">
        <f>SUM(F39:F42)</f>
        <v>6889.7999999999993</v>
      </c>
    </row>
    <row r="44" spans="1:6" ht="15" customHeight="1" x14ac:dyDescent="0.25">
      <c r="A44" s="78" t="s">
        <v>217</v>
      </c>
      <c r="B44" s="79"/>
      <c r="C44" s="80"/>
      <c r="D44" s="79"/>
      <c r="E44" s="78"/>
      <c r="F44" s="77"/>
    </row>
    <row r="45" spans="1:6" ht="15" customHeight="1" x14ac:dyDescent="0.25">
      <c r="A45" s="70"/>
      <c r="B45" s="71" t="s">
        <v>189</v>
      </c>
      <c r="C45" s="72">
        <v>46128</v>
      </c>
      <c r="D45" s="71" t="s">
        <v>218</v>
      </c>
      <c r="E45" s="70" t="s">
        <v>219</v>
      </c>
      <c r="F45" s="73">
        <v>321.75</v>
      </c>
    </row>
    <row r="46" spans="1:6" ht="15" customHeight="1" thickBot="1" x14ac:dyDescent="0.3">
      <c r="A46" s="66"/>
      <c r="B46" s="67" t="s">
        <v>189</v>
      </c>
      <c r="C46" s="68">
        <v>46147</v>
      </c>
      <c r="D46" s="67" t="s">
        <v>257</v>
      </c>
      <c r="E46" s="66" t="s">
        <v>258</v>
      </c>
      <c r="F46" s="82">
        <v>71.16</v>
      </c>
    </row>
    <row r="47" spans="1:6" ht="15" customHeight="1" x14ac:dyDescent="0.25">
      <c r="A47" s="78" t="s">
        <v>220</v>
      </c>
      <c r="B47" s="79"/>
      <c r="C47" s="80"/>
      <c r="D47" s="79"/>
      <c r="E47" s="81"/>
      <c r="F47" s="83">
        <f>SUM(F45:F46)</f>
        <v>392.90999999999997</v>
      </c>
    </row>
    <row r="48" spans="1:6" ht="15" customHeight="1" x14ac:dyDescent="0.25">
      <c r="A48" s="78" t="s">
        <v>221</v>
      </c>
      <c r="B48" s="79"/>
      <c r="C48" s="80"/>
      <c r="D48" s="79"/>
      <c r="E48" s="78"/>
      <c r="F48" s="77"/>
    </row>
    <row r="49" spans="1:6" ht="15" customHeight="1" x14ac:dyDescent="0.25">
      <c r="A49" s="70"/>
      <c r="B49" s="71" t="s">
        <v>189</v>
      </c>
      <c r="C49" s="72">
        <v>46007</v>
      </c>
      <c r="D49" s="71" t="s">
        <v>222</v>
      </c>
      <c r="E49" s="70" t="s">
        <v>223</v>
      </c>
      <c r="F49" s="73">
        <v>1025</v>
      </c>
    </row>
    <row r="50" spans="1:6" ht="15" customHeight="1" x14ac:dyDescent="0.25">
      <c r="A50" s="66"/>
      <c r="B50" s="67" t="s">
        <v>189</v>
      </c>
      <c r="C50" s="68">
        <v>46105</v>
      </c>
      <c r="D50" s="67" t="s">
        <v>224</v>
      </c>
      <c r="E50" s="66" t="s">
        <v>225</v>
      </c>
      <c r="F50" s="69">
        <v>13700.75</v>
      </c>
    </row>
    <row r="51" spans="1:6" ht="15" customHeight="1" thickBot="1" x14ac:dyDescent="0.3">
      <c r="A51" s="70"/>
      <c r="B51" s="71" t="s">
        <v>259</v>
      </c>
      <c r="C51" s="72">
        <v>46149</v>
      </c>
      <c r="D51" s="71" t="s">
        <v>260</v>
      </c>
      <c r="E51" s="70" t="s">
        <v>261</v>
      </c>
      <c r="F51" s="84">
        <v>128.13</v>
      </c>
    </row>
    <row r="52" spans="1:6" ht="15" customHeight="1" x14ac:dyDescent="0.25">
      <c r="A52" s="78" t="s">
        <v>226</v>
      </c>
      <c r="B52" s="79"/>
      <c r="C52" s="80"/>
      <c r="D52" s="79"/>
      <c r="E52" s="81"/>
      <c r="F52" s="83">
        <f>SUM(F49:F51)</f>
        <v>14853.88</v>
      </c>
    </row>
    <row r="53" spans="1:6" ht="15" customHeight="1" x14ac:dyDescent="0.25">
      <c r="A53" s="78" t="s">
        <v>262</v>
      </c>
      <c r="B53" s="79"/>
      <c r="C53" s="80"/>
      <c r="D53" s="79"/>
      <c r="E53" s="78"/>
      <c r="F53" s="77"/>
    </row>
    <row r="54" spans="1:6" ht="15" customHeight="1" x14ac:dyDescent="0.25">
      <c r="A54" s="66"/>
      <c r="B54" s="67" t="s">
        <v>189</v>
      </c>
      <c r="C54" s="68">
        <v>46147</v>
      </c>
      <c r="D54" s="67" t="s">
        <v>263</v>
      </c>
      <c r="E54" s="66" t="s">
        <v>264</v>
      </c>
      <c r="F54" s="69">
        <v>7268.71</v>
      </c>
    </row>
    <row r="55" spans="1:6" ht="15" customHeight="1" thickBot="1" x14ac:dyDescent="0.3">
      <c r="A55" s="70"/>
      <c r="B55" s="71" t="s">
        <v>189</v>
      </c>
      <c r="C55" s="72">
        <v>46148</v>
      </c>
      <c r="D55" s="71" t="s">
        <v>265</v>
      </c>
      <c r="E55" s="70" t="s">
        <v>266</v>
      </c>
      <c r="F55" s="84">
        <v>637.91</v>
      </c>
    </row>
    <row r="56" spans="1:6" ht="15" customHeight="1" x14ac:dyDescent="0.25">
      <c r="A56" s="78" t="s">
        <v>267</v>
      </c>
      <c r="B56" s="79"/>
      <c r="C56" s="80"/>
      <c r="D56" s="79"/>
      <c r="E56" s="81"/>
      <c r="F56" s="83">
        <f>SUM(F54:F55)</f>
        <v>7906.62</v>
      </c>
    </row>
    <row r="57" spans="1:6" ht="15" customHeight="1" x14ac:dyDescent="0.25">
      <c r="A57" s="78" t="s">
        <v>268</v>
      </c>
      <c r="B57" s="79"/>
      <c r="C57" s="80"/>
      <c r="D57" s="79"/>
      <c r="E57" s="78"/>
      <c r="F57" s="77"/>
    </row>
    <row r="58" spans="1:6" ht="15" customHeight="1" x14ac:dyDescent="0.25">
      <c r="A58" s="66"/>
      <c r="B58" s="67" t="s">
        <v>189</v>
      </c>
      <c r="C58" s="68">
        <v>46153</v>
      </c>
      <c r="D58" s="67" t="s">
        <v>269</v>
      </c>
      <c r="E58" s="66" t="s">
        <v>270</v>
      </c>
      <c r="F58" s="69">
        <v>215.54</v>
      </c>
    </row>
    <row r="59" spans="1:6" ht="15" customHeight="1" x14ac:dyDescent="0.25">
      <c r="A59" s="70"/>
      <c r="B59" s="71" t="s">
        <v>189</v>
      </c>
      <c r="C59" s="72">
        <v>46154</v>
      </c>
      <c r="D59" s="71" t="s">
        <v>271</v>
      </c>
      <c r="E59" s="70" t="s">
        <v>272</v>
      </c>
      <c r="F59" s="73">
        <v>335.43</v>
      </c>
    </row>
    <row r="60" spans="1:6" ht="15" customHeight="1" x14ac:dyDescent="0.25">
      <c r="A60" s="66"/>
      <c r="B60" s="67" t="s">
        <v>189</v>
      </c>
      <c r="C60" s="68">
        <v>46156</v>
      </c>
      <c r="D60" s="67" t="s">
        <v>273</v>
      </c>
      <c r="E60" s="66" t="s">
        <v>274</v>
      </c>
      <c r="F60" s="69">
        <v>207.15</v>
      </c>
    </row>
    <row r="61" spans="1:6" ht="15" customHeight="1" thickBot="1" x14ac:dyDescent="0.3">
      <c r="A61" s="70"/>
      <c r="B61" s="71" t="s">
        <v>189</v>
      </c>
      <c r="C61" s="72">
        <v>46156</v>
      </c>
      <c r="D61" s="71" t="s">
        <v>275</v>
      </c>
      <c r="E61" s="70" t="s">
        <v>276</v>
      </c>
      <c r="F61" s="84">
        <v>253.59</v>
      </c>
    </row>
    <row r="62" spans="1:6" ht="15" customHeight="1" x14ac:dyDescent="0.25">
      <c r="A62" s="85" t="s">
        <v>277</v>
      </c>
      <c r="B62" s="86"/>
      <c r="C62" s="87"/>
      <c r="D62" s="86"/>
      <c r="E62" s="88"/>
      <c r="F62" s="89">
        <f>SUM(F58:F61)</f>
        <v>1011.71</v>
      </c>
    </row>
    <row r="63" spans="1:6" ht="15" customHeight="1" thickBot="1" x14ac:dyDescent="0.3">
      <c r="A63" s="90" t="s">
        <v>281</v>
      </c>
      <c r="B63" s="91"/>
      <c r="C63" s="91"/>
      <c r="D63" s="91"/>
      <c r="E63" s="90"/>
      <c r="F63" s="92">
        <f>F5+F9+F12+F16+F20+F23+F28+F32+F37+F43+F47+F52+F56+F62</f>
        <v>98854.150000000009</v>
      </c>
    </row>
  </sheetData>
  <pageMargins left="0.14000000000000001" right="0.08" top="0.13" bottom="0.39" header="0" footer="0"/>
  <pageSetup orientation="landscape"/>
  <headerFoot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Breakdown</vt:lpstr>
      <vt:lpstr>Timesheet</vt:lpstr>
      <vt:lpstr>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mcmann</cp:lastModifiedBy>
  <cp:lastPrinted>2026-06-18T18:42:19Z</cp:lastPrinted>
  <dcterms:modified xsi:type="dcterms:W3CDTF">2026-07-20T21:40:31Z</dcterms:modified>
</cp:coreProperties>
</file>