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J:\Shared drives\McMann Group-Accounting\01. Projects - Accounting\01. Current Projects- Accounting\06. 2125 Widgeon Road\01. Invoices\2026\2026.06.30\"/>
    </mc:Choice>
  </mc:AlternateContent>
  <xr:revisionPtr revIDLastSave="0" documentId="13_ncr:1_{4BFC536F-7D02-4825-A4CC-9D8758CF4E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st Breakdown" sheetId="1" r:id="rId1"/>
    <sheet name="Timesheet" sheetId="2" r:id="rId2"/>
    <sheet name="Material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F100" i="5" s="1"/>
  <c r="D206" i="1"/>
  <c r="D188" i="1"/>
  <c r="D195" i="1"/>
  <c r="E103" i="2"/>
  <c r="G102" i="2"/>
  <c r="G101" i="2"/>
  <c r="G100" i="2"/>
  <c r="G99" i="2"/>
  <c r="G103" i="2" s="1"/>
  <c r="E97" i="2"/>
  <c r="G96" i="2"/>
  <c r="G95" i="2"/>
  <c r="G94" i="2"/>
  <c r="G93" i="2"/>
  <c r="G97" i="2" s="1"/>
  <c r="E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91" i="2" s="1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E41" i="2"/>
  <c r="G41" i="2" s="1"/>
  <c r="G40" i="2"/>
  <c r="G39" i="2"/>
  <c r="E38" i="2"/>
  <c r="G38" i="2" s="1"/>
  <c r="G37" i="2"/>
  <c r="G36" i="2"/>
  <c r="E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D201" i="1"/>
  <c r="D203" i="1" s="1"/>
  <c r="D23" i="1"/>
  <c r="D20" i="1"/>
  <c r="D28" i="1"/>
  <c r="B23" i="1"/>
  <c r="E24" i="1"/>
  <c r="D24" i="1"/>
  <c r="D73" i="1"/>
  <c r="C73" i="1"/>
  <c r="B73" i="1"/>
  <c r="E72" i="1"/>
  <c r="E73" i="1" s="1"/>
  <c r="C199" i="1"/>
  <c r="C195" i="1"/>
  <c r="C196" i="1" s="1"/>
  <c r="C193" i="1"/>
  <c r="C17" i="1"/>
  <c r="E17" i="1" s="1"/>
  <c r="C16" i="1"/>
  <c r="C9" i="1"/>
  <c r="C5" i="1"/>
  <c r="E33" i="1"/>
  <c r="C203" i="1"/>
  <c r="B203" i="1"/>
  <c r="E202" i="1"/>
  <c r="E201" i="1"/>
  <c r="E200" i="1"/>
  <c r="E199" i="1"/>
  <c r="B196" i="1"/>
  <c r="E194" i="1"/>
  <c r="D190" i="1"/>
  <c r="C190" i="1"/>
  <c r="B190" i="1"/>
  <c r="E189" i="1"/>
  <c r="E188" i="1"/>
  <c r="E187" i="1"/>
  <c r="E186" i="1"/>
  <c r="D183" i="1"/>
  <c r="C183" i="1"/>
  <c r="B183" i="1"/>
  <c r="E182" i="1"/>
  <c r="E181" i="1"/>
  <c r="E180" i="1"/>
  <c r="E179" i="1"/>
  <c r="D176" i="1"/>
  <c r="C176" i="1"/>
  <c r="B176" i="1"/>
  <c r="E175" i="1"/>
  <c r="E174" i="1"/>
  <c r="E173" i="1"/>
  <c r="E172" i="1"/>
  <c r="D169" i="1"/>
  <c r="C169" i="1"/>
  <c r="B169" i="1"/>
  <c r="E168" i="1"/>
  <c r="E167" i="1"/>
  <c r="E166" i="1"/>
  <c r="E165" i="1"/>
  <c r="E164" i="1"/>
  <c r="D161" i="1"/>
  <c r="C161" i="1"/>
  <c r="B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D144" i="1"/>
  <c r="C144" i="1"/>
  <c r="B144" i="1"/>
  <c r="E143" i="1"/>
  <c r="E142" i="1"/>
  <c r="E141" i="1"/>
  <c r="E140" i="1"/>
  <c r="E139" i="1"/>
  <c r="F139" i="1" s="1"/>
  <c r="E138" i="1"/>
  <c r="E137" i="1"/>
  <c r="E136" i="1"/>
  <c r="D133" i="1"/>
  <c r="C133" i="1"/>
  <c r="B133" i="1"/>
  <c r="E132" i="1"/>
  <c r="E131" i="1"/>
  <c r="E130" i="1"/>
  <c r="E129" i="1"/>
  <c r="E128" i="1"/>
  <c r="E127" i="1"/>
  <c r="E126" i="1"/>
  <c r="E125" i="1"/>
  <c r="E124" i="1"/>
  <c r="E123" i="1"/>
  <c r="D120" i="1"/>
  <c r="C120" i="1"/>
  <c r="B120" i="1"/>
  <c r="E119" i="1"/>
  <c r="E118" i="1"/>
  <c r="E117" i="1"/>
  <c r="E116" i="1"/>
  <c r="E120" i="1" s="1"/>
  <c r="D113" i="1"/>
  <c r="C113" i="1"/>
  <c r="B113" i="1"/>
  <c r="E112" i="1"/>
  <c r="E111" i="1"/>
  <c r="D108" i="1"/>
  <c r="C108" i="1"/>
  <c r="B108" i="1"/>
  <c r="E107" i="1"/>
  <c r="E106" i="1"/>
  <c r="E105" i="1"/>
  <c r="E104" i="1"/>
  <c r="E103" i="1"/>
  <c r="E102" i="1"/>
  <c r="D99" i="1"/>
  <c r="C99" i="1"/>
  <c r="B99" i="1"/>
  <c r="E98" i="1"/>
  <c r="E97" i="1"/>
  <c r="E96" i="1"/>
  <c r="D93" i="1"/>
  <c r="C93" i="1"/>
  <c r="B93" i="1"/>
  <c r="E92" i="1"/>
  <c r="E91" i="1"/>
  <c r="F91" i="1" s="1"/>
  <c r="E90" i="1"/>
  <c r="D87" i="1"/>
  <c r="C87" i="1"/>
  <c r="B87" i="1"/>
  <c r="E86" i="1"/>
  <c r="E85" i="1"/>
  <c r="E84" i="1"/>
  <c r="E83" i="1"/>
  <c r="E82" i="1"/>
  <c r="D79" i="1"/>
  <c r="C79" i="1"/>
  <c r="B79" i="1"/>
  <c r="E78" i="1"/>
  <c r="E77" i="1"/>
  <c r="E76" i="1"/>
  <c r="E71" i="1"/>
  <c r="E70" i="1"/>
  <c r="E69" i="1"/>
  <c r="E68" i="1"/>
  <c r="E67" i="1"/>
  <c r="D64" i="1"/>
  <c r="C64" i="1"/>
  <c r="B64" i="1"/>
  <c r="E63" i="1"/>
  <c r="E62" i="1"/>
  <c r="E61" i="1"/>
  <c r="D58" i="1"/>
  <c r="C58" i="1"/>
  <c r="B58" i="1"/>
  <c r="E57" i="1"/>
  <c r="E56" i="1"/>
  <c r="D53" i="1"/>
  <c r="C53" i="1"/>
  <c r="B53" i="1"/>
  <c r="E52" i="1"/>
  <c r="E51" i="1"/>
  <c r="E50" i="1"/>
  <c r="E49" i="1"/>
  <c r="E48" i="1"/>
  <c r="E47" i="1"/>
  <c r="E46" i="1"/>
  <c r="D43" i="1"/>
  <c r="C43" i="1"/>
  <c r="B43" i="1"/>
  <c r="E42" i="1"/>
  <c r="E41" i="1"/>
  <c r="E40" i="1"/>
  <c r="E39" i="1"/>
  <c r="E38" i="1"/>
  <c r="E37" i="1"/>
  <c r="E36" i="1"/>
  <c r="E35" i="1"/>
  <c r="E34" i="1"/>
  <c r="E32" i="1"/>
  <c r="E31" i="1"/>
  <c r="C28" i="1"/>
  <c r="B28" i="1"/>
  <c r="E27" i="1"/>
  <c r="E26" i="1"/>
  <c r="E25" i="1"/>
  <c r="E23" i="1"/>
  <c r="B20" i="1"/>
  <c r="E19" i="1"/>
  <c r="E18" i="1"/>
  <c r="E15" i="1"/>
  <c r="D12" i="1"/>
  <c r="B12" i="1"/>
  <c r="E11" i="1"/>
  <c r="E10" i="1"/>
  <c r="D6" i="1"/>
  <c r="B6" i="1"/>
  <c r="E71" i="2" l="1"/>
  <c r="E104" i="2" s="1"/>
  <c r="G35" i="2"/>
  <c r="G71" i="2" s="1"/>
  <c r="G104" i="2" s="1"/>
  <c r="F24" i="1"/>
  <c r="G24" i="1"/>
  <c r="H24" i="1"/>
  <c r="E16" i="1"/>
  <c r="C20" i="1"/>
  <c r="C12" i="1"/>
  <c r="E9" i="1"/>
  <c r="C6" i="1"/>
  <c r="E5" i="1"/>
  <c r="F72" i="1"/>
  <c r="H72" i="1"/>
  <c r="G72" i="1"/>
  <c r="E195" i="1"/>
  <c r="G33" i="1"/>
  <c r="H33" i="1"/>
  <c r="F33" i="1"/>
  <c r="B205" i="1"/>
  <c r="H25" i="1"/>
  <c r="C205" i="1"/>
  <c r="H174" i="1"/>
  <c r="G174" i="1"/>
  <c r="F174" i="1"/>
  <c r="E193" i="1"/>
  <c r="D196" i="1"/>
  <c r="D205" i="1" s="1"/>
  <c r="H156" i="1"/>
  <c r="G156" i="1"/>
  <c r="F156" i="1"/>
  <c r="G139" i="1"/>
  <c r="H139" i="1"/>
  <c r="F83" i="1"/>
  <c r="H83" i="1"/>
  <c r="G83" i="1"/>
  <c r="H202" i="1"/>
  <c r="G202" i="1"/>
  <c r="F202" i="1"/>
  <c r="H201" i="1"/>
  <c r="G201" i="1"/>
  <c r="F201" i="1"/>
  <c r="H200" i="1"/>
  <c r="G200" i="1"/>
  <c r="F200" i="1"/>
  <c r="E203" i="1"/>
  <c r="H199" i="1"/>
  <c r="G199" i="1"/>
  <c r="F199" i="1"/>
  <c r="H195" i="1"/>
  <c r="G195" i="1"/>
  <c r="F195" i="1"/>
  <c r="H194" i="1"/>
  <c r="G194" i="1"/>
  <c r="F194" i="1"/>
  <c r="H189" i="1"/>
  <c r="G189" i="1"/>
  <c r="F189" i="1"/>
  <c r="H188" i="1"/>
  <c r="G188" i="1"/>
  <c r="F188" i="1"/>
  <c r="H187" i="1"/>
  <c r="G187" i="1"/>
  <c r="F187" i="1"/>
  <c r="E190" i="1"/>
  <c r="H186" i="1"/>
  <c r="G186" i="1"/>
  <c r="F186" i="1"/>
  <c r="F182" i="1"/>
  <c r="G182" i="1"/>
  <c r="H182" i="1"/>
  <c r="H181" i="1"/>
  <c r="G181" i="1"/>
  <c r="F181" i="1"/>
  <c r="H180" i="1"/>
  <c r="G180" i="1"/>
  <c r="F180" i="1"/>
  <c r="E183" i="1"/>
  <c r="H179" i="1"/>
  <c r="H183" i="1" s="1"/>
  <c r="G179" i="1"/>
  <c r="G183" i="1" s="1"/>
  <c r="F179" i="1"/>
  <c r="F183" i="1" s="1"/>
  <c r="E176" i="1"/>
  <c r="H175" i="1"/>
  <c r="G175" i="1"/>
  <c r="F175" i="1"/>
  <c r="H173" i="1"/>
  <c r="G173" i="1"/>
  <c r="F173" i="1"/>
  <c r="H172" i="1"/>
  <c r="G172" i="1"/>
  <c r="G176" i="1" s="1"/>
  <c r="F172" i="1"/>
  <c r="F176" i="1" s="1"/>
  <c r="F168" i="1"/>
  <c r="H168" i="1"/>
  <c r="G168" i="1"/>
  <c r="H167" i="1"/>
  <c r="G167" i="1"/>
  <c r="F167" i="1"/>
  <c r="H166" i="1"/>
  <c r="G166" i="1"/>
  <c r="F166" i="1"/>
  <c r="H165" i="1"/>
  <c r="G165" i="1"/>
  <c r="F165" i="1"/>
  <c r="E169" i="1"/>
  <c r="H164" i="1"/>
  <c r="G164" i="1"/>
  <c r="F164" i="1"/>
  <c r="H160" i="1"/>
  <c r="G160" i="1"/>
  <c r="F160" i="1"/>
  <c r="G159" i="1"/>
  <c r="F159" i="1"/>
  <c r="H159" i="1"/>
  <c r="H158" i="1"/>
  <c r="F158" i="1"/>
  <c r="G158" i="1"/>
  <c r="H157" i="1"/>
  <c r="G157" i="1"/>
  <c r="F157" i="1"/>
  <c r="E161" i="1"/>
  <c r="F155" i="1"/>
  <c r="H155" i="1"/>
  <c r="G155" i="1"/>
  <c r="H154" i="1"/>
  <c r="G154" i="1"/>
  <c r="F154" i="1"/>
  <c r="F153" i="1"/>
  <c r="H153" i="1"/>
  <c r="G153" i="1"/>
  <c r="H152" i="1"/>
  <c r="G152" i="1"/>
  <c r="F152" i="1"/>
  <c r="H151" i="1"/>
  <c r="G151" i="1"/>
  <c r="F151" i="1"/>
  <c r="H150" i="1"/>
  <c r="G150" i="1"/>
  <c r="F150" i="1"/>
  <c r="H149" i="1"/>
  <c r="F149" i="1"/>
  <c r="G149" i="1"/>
  <c r="H148" i="1"/>
  <c r="G148" i="1"/>
  <c r="F148" i="1"/>
  <c r="H147" i="1"/>
  <c r="G147" i="1"/>
  <c r="F147" i="1"/>
  <c r="H143" i="1"/>
  <c r="G143" i="1"/>
  <c r="F143" i="1"/>
  <c r="H142" i="1"/>
  <c r="G142" i="1"/>
  <c r="F142" i="1"/>
  <c r="H141" i="1"/>
  <c r="G141" i="1"/>
  <c r="F141" i="1"/>
  <c r="E144" i="1"/>
  <c r="H140" i="1"/>
  <c r="G140" i="1"/>
  <c r="F140" i="1"/>
  <c r="H138" i="1"/>
  <c r="G138" i="1"/>
  <c r="F138" i="1"/>
  <c r="H137" i="1"/>
  <c r="G137" i="1"/>
  <c r="F137" i="1"/>
  <c r="H136" i="1"/>
  <c r="G136" i="1"/>
  <c r="F136" i="1"/>
  <c r="H132" i="1"/>
  <c r="G132" i="1"/>
  <c r="F132" i="1"/>
  <c r="F131" i="1"/>
  <c r="H131" i="1"/>
  <c r="G131" i="1"/>
  <c r="H130" i="1"/>
  <c r="G130" i="1"/>
  <c r="F130" i="1"/>
  <c r="H129" i="1"/>
  <c r="G129" i="1"/>
  <c r="F129" i="1"/>
  <c r="H128" i="1"/>
  <c r="G128" i="1"/>
  <c r="F128" i="1"/>
  <c r="F127" i="1"/>
  <c r="H127" i="1"/>
  <c r="G127" i="1"/>
  <c r="F126" i="1"/>
  <c r="G126" i="1"/>
  <c r="H126" i="1"/>
  <c r="H125" i="1"/>
  <c r="G125" i="1"/>
  <c r="F125" i="1"/>
  <c r="H124" i="1"/>
  <c r="G124" i="1"/>
  <c r="F124" i="1"/>
  <c r="E133" i="1"/>
  <c r="H123" i="1"/>
  <c r="G123" i="1"/>
  <c r="F123" i="1"/>
  <c r="H119" i="1"/>
  <c r="G119" i="1"/>
  <c r="F119" i="1"/>
  <c r="H118" i="1"/>
  <c r="G118" i="1"/>
  <c r="F118" i="1"/>
  <c r="H117" i="1"/>
  <c r="G117" i="1"/>
  <c r="F117" i="1"/>
  <c r="H116" i="1"/>
  <c r="H120" i="1" s="1"/>
  <c r="G116" i="1"/>
  <c r="F116" i="1"/>
  <c r="H112" i="1"/>
  <c r="F112" i="1"/>
  <c r="G112" i="1"/>
  <c r="H111" i="1"/>
  <c r="H113" i="1" s="1"/>
  <c r="G111" i="1"/>
  <c r="F111" i="1"/>
  <c r="E113" i="1"/>
  <c r="H107" i="1"/>
  <c r="G107" i="1"/>
  <c r="F107" i="1"/>
  <c r="H106" i="1"/>
  <c r="G106" i="1"/>
  <c r="F106" i="1"/>
  <c r="F105" i="1"/>
  <c r="H105" i="1"/>
  <c r="G105" i="1"/>
  <c r="F104" i="1"/>
  <c r="H104" i="1"/>
  <c r="G104" i="1"/>
  <c r="H103" i="1"/>
  <c r="G103" i="1"/>
  <c r="E108" i="1"/>
  <c r="F103" i="1"/>
  <c r="G102" i="1"/>
  <c r="H102" i="1"/>
  <c r="F102" i="1"/>
  <c r="H98" i="1"/>
  <c r="G98" i="1"/>
  <c r="F98" i="1"/>
  <c r="H97" i="1"/>
  <c r="G97" i="1"/>
  <c r="F97" i="1"/>
  <c r="E99" i="1"/>
  <c r="H96" i="1"/>
  <c r="H99" i="1" s="1"/>
  <c r="G96" i="1"/>
  <c r="G99" i="1" s="1"/>
  <c r="F96" i="1"/>
  <c r="F99" i="1" s="1"/>
  <c r="H92" i="1"/>
  <c r="G92" i="1"/>
  <c r="F92" i="1"/>
  <c r="G91" i="1"/>
  <c r="H91" i="1"/>
  <c r="G90" i="1"/>
  <c r="G93" i="1" s="1"/>
  <c r="F90" i="1"/>
  <c r="F93" i="1" s="1"/>
  <c r="E93" i="1"/>
  <c r="H90" i="1"/>
  <c r="H86" i="1"/>
  <c r="G86" i="1"/>
  <c r="F86" i="1"/>
  <c r="G85" i="1"/>
  <c r="H85" i="1"/>
  <c r="F85" i="1"/>
  <c r="E87" i="1"/>
  <c r="H84" i="1"/>
  <c r="G84" i="1"/>
  <c r="F84" i="1"/>
  <c r="H82" i="1"/>
  <c r="G82" i="1"/>
  <c r="F82" i="1"/>
  <c r="H78" i="1"/>
  <c r="G78" i="1"/>
  <c r="F78" i="1"/>
  <c r="H77" i="1"/>
  <c r="G77" i="1"/>
  <c r="F77" i="1"/>
  <c r="H76" i="1"/>
  <c r="H79" i="1" s="1"/>
  <c r="G76" i="1"/>
  <c r="F76" i="1"/>
  <c r="E79" i="1"/>
  <c r="F71" i="1"/>
  <c r="H71" i="1"/>
  <c r="G71" i="1"/>
  <c r="H70" i="1"/>
  <c r="G70" i="1"/>
  <c r="F70" i="1"/>
  <c r="H69" i="1"/>
  <c r="G69" i="1"/>
  <c r="F69" i="1"/>
  <c r="F73" i="1" s="1"/>
  <c r="H68" i="1"/>
  <c r="G68" i="1"/>
  <c r="F68" i="1"/>
  <c r="F67" i="1"/>
  <c r="H67" i="1"/>
  <c r="G67" i="1"/>
  <c r="E64" i="1"/>
  <c r="H63" i="1"/>
  <c r="G63" i="1"/>
  <c r="F63" i="1"/>
  <c r="G62" i="1"/>
  <c r="F62" i="1"/>
  <c r="H62" i="1"/>
  <c r="F61" i="1"/>
  <c r="F64" i="1" s="1"/>
  <c r="H61" i="1"/>
  <c r="H64" i="1" s="1"/>
  <c r="G61" i="1"/>
  <c r="G64" i="1" s="1"/>
  <c r="H57" i="1"/>
  <c r="G57" i="1"/>
  <c r="F57" i="1"/>
  <c r="H56" i="1"/>
  <c r="G56" i="1"/>
  <c r="G58" i="1" s="1"/>
  <c r="F56" i="1"/>
  <c r="F58" i="1" s="1"/>
  <c r="E58" i="1"/>
  <c r="H52" i="1"/>
  <c r="G52" i="1"/>
  <c r="F52" i="1"/>
  <c r="F51" i="1"/>
  <c r="H51" i="1"/>
  <c r="G51" i="1"/>
  <c r="F50" i="1"/>
  <c r="G50" i="1"/>
  <c r="H50" i="1"/>
  <c r="H49" i="1"/>
  <c r="G49" i="1"/>
  <c r="F49" i="1"/>
  <c r="H48" i="1"/>
  <c r="G48" i="1"/>
  <c r="F48" i="1"/>
  <c r="H47" i="1"/>
  <c r="G47" i="1"/>
  <c r="F47" i="1"/>
  <c r="H46" i="1"/>
  <c r="G46" i="1"/>
  <c r="F46" i="1"/>
  <c r="E53" i="1"/>
  <c r="H42" i="1"/>
  <c r="G42" i="1"/>
  <c r="F42" i="1"/>
  <c r="F41" i="1"/>
  <c r="G41" i="1"/>
  <c r="H41" i="1"/>
  <c r="F40" i="1"/>
  <c r="G40" i="1"/>
  <c r="H40" i="1"/>
  <c r="H39" i="1"/>
  <c r="G39" i="1"/>
  <c r="F39" i="1"/>
  <c r="H38" i="1"/>
  <c r="G38" i="1"/>
  <c r="F38" i="1"/>
  <c r="H37" i="1"/>
  <c r="G37" i="1"/>
  <c r="F37" i="1"/>
  <c r="H36" i="1"/>
  <c r="G36" i="1"/>
  <c r="F36" i="1"/>
  <c r="G35" i="1"/>
  <c r="H35" i="1"/>
  <c r="F35" i="1"/>
  <c r="H34" i="1"/>
  <c r="G34" i="1"/>
  <c r="F34" i="1"/>
  <c r="F32" i="1"/>
  <c r="H32" i="1"/>
  <c r="G32" i="1"/>
  <c r="E43" i="1"/>
  <c r="H31" i="1"/>
  <c r="F31" i="1"/>
  <c r="G31" i="1"/>
  <c r="H27" i="1"/>
  <c r="G27" i="1"/>
  <c r="F27" i="1"/>
  <c r="H26" i="1"/>
  <c r="G26" i="1"/>
  <c r="F26" i="1"/>
  <c r="E28" i="1"/>
  <c r="F25" i="1"/>
  <c r="G25" i="1"/>
  <c r="H23" i="1"/>
  <c r="F23" i="1"/>
  <c r="G23" i="1"/>
  <c r="H19" i="1"/>
  <c r="G19" i="1"/>
  <c r="F19" i="1"/>
  <c r="H18" i="1"/>
  <c r="G18" i="1"/>
  <c r="F18" i="1"/>
  <c r="G17" i="1"/>
  <c r="F17" i="1"/>
  <c r="H17" i="1"/>
  <c r="F16" i="1"/>
  <c r="G16" i="1"/>
  <c r="H16" i="1"/>
  <c r="E20" i="1"/>
  <c r="H15" i="1"/>
  <c r="G15" i="1"/>
  <c r="F15" i="1"/>
  <c r="H11" i="1"/>
  <c r="G11" i="1"/>
  <c r="F11" i="1"/>
  <c r="G10" i="1"/>
  <c r="F10" i="1"/>
  <c r="E12" i="1"/>
  <c r="G9" i="1"/>
  <c r="F9" i="1"/>
  <c r="H9" i="1"/>
  <c r="E6" i="1"/>
  <c r="H5" i="1"/>
  <c r="H6" i="1" s="1"/>
  <c r="F5" i="1"/>
  <c r="F6" i="1" s="1"/>
  <c r="G5" i="1"/>
  <c r="G6" i="1" s="1"/>
  <c r="H203" i="1" l="1"/>
  <c r="G203" i="1"/>
  <c r="F203" i="1"/>
  <c r="H73" i="1"/>
  <c r="H169" i="1"/>
  <c r="G169" i="1"/>
  <c r="F169" i="1"/>
  <c r="F120" i="1"/>
  <c r="G73" i="1"/>
  <c r="H176" i="1"/>
  <c r="F87" i="1"/>
  <c r="G144" i="1"/>
  <c r="F144" i="1"/>
  <c r="G87" i="1"/>
  <c r="H87" i="1"/>
  <c r="H58" i="1"/>
  <c r="G193" i="1"/>
  <c r="G196" i="1" s="1"/>
  <c r="E196" i="1"/>
  <c r="E205" i="1" s="1"/>
  <c r="H193" i="1"/>
  <c r="H196" i="1" s="1"/>
  <c r="F193" i="1"/>
  <c r="C206" i="1"/>
  <c r="B206" i="1"/>
  <c r="B207" i="1" s="1"/>
  <c r="B208" i="1" s="1"/>
  <c r="H133" i="1"/>
  <c r="F133" i="1"/>
  <c r="G79" i="1"/>
  <c r="F79" i="1"/>
  <c r="F12" i="1"/>
  <c r="G12" i="1"/>
  <c r="H12" i="1"/>
  <c r="D207" i="1"/>
  <c r="D208" i="1" s="1"/>
  <c r="H144" i="1"/>
  <c r="G113" i="1"/>
  <c r="F113" i="1"/>
  <c r="G133" i="1"/>
  <c r="H93" i="1"/>
  <c r="H190" i="1"/>
  <c r="G190" i="1"/>
  <c r="F190" i="1"/>
  <c r="G120" i="1"/>
  <c r="H161" i="1"/>
  <c r="G161" i="1"/>
  <c r="F161" i="1"/>
  <c r="H28" i="1"/>
  <c r="F28" i="1"/>
  <c r="G28" i="1"/>
  <c r="G108" i="1"/>
  <c r="H108" i="1"/>
  <c r="F108" i="1"/>
  <c r="H53" i="1"/>
  <c r="G53" i="1"/>
  <c r="F53" i="1"/>
  <c r="H43" i="1"/>
  <c r="F43" i="1"/>
  <c r="G43" i="1"/>
  <c r="H20" i="1"/>
  <c r="G20" i="1"/>
  <c r="F20" i="1"/>
  <c r="F196" i="1" l="1"/>
  <c r="C207" i="1"/>
  <c r="G205" i="1"/>
  <c r="G206" i="1" s="1"/>
  <c r="E206" i="1"/>
  <c r="H205" i="1"/>
  <c r="F205" i="1" l="1"/>
  <c r="C208" i="1"/>
  <c r="H206" i="1"/>
  <c r="H207" i="1" s="1"/>
  <c r="H208" i="1" s="1"/>
  <c r="G207" i="1"/>
  <c r="G208" i="1" s="1"/>
  <c r="E207" i="1"/>
  <c r="E208" i="1" s="1"/>
  <c r="F206" i="1" l="1"/>
  <c r="F207" i="1" s="1"/>
  <c r="F208" i="1" s="1"/>
</calcChain>
</file>

<file path=xl/sharedStrings.xml><?xml version="1.0" encoding="utf-8"?>
<sst xmlns="http://schemas.openxmlformats.org/spreadsheetml/2006/main" count="582" uniqueCount="325">
  <si>
    <t xml:space="preserve">   LINE ITEM</t>
  </si>
  <si>
    <t>BUDGET</t>
  </si>
  <si>
    <t>PREV. INVOICED</t>
  </si>
  <si>
    <t>CURRENT INVOICE</t>
  </si>
  <si>
    <t>TOTAL INVOICED</t>
  </si>
  <si>
    <t>TO BE COMPLETED</t>
  </si>
  <si>
    <t>OVER BUDGET</t>
  </si>
  <si>
    <t>CHANGE ORDERS</t>
  </si>
  <si>
    <t xml:space="preserve">  DESIGN SERVICES</t>
  </si>
  <si>
    <t xml:space="preserve">   Plan Printing &amp; Photocopying</t>
  </si>
  <si>
    <t xml:space="preserve">   DESIGN SERVICES — Subtotal</t>
  </si>
  <si>
    <t xml:space="preserve">  PERMITS &amp; HOME WARRANTY</t>
  </si>
  <si>
    <t xml:space="preserve">   Building Permit Fees</t>
  </si>
  <si>
    <t xml:space="preserve">   Home Warranty Registration &amp; Fees</t>
  </si>
  <si>
    <t xml:space="preserve">   BC Housing Registration Fee</t>
  </si>
  <si>
    <t xml:space="preserve">   PERMITS &amp; HOME WARRANTY — Subtotal</t>
  </si>
  <si>
    <t xml:space="preserve">  ENGINEERING FEES</t>
  </si>
  <si>
    <t xml:space="preserve">   Energy Advisor</t>
  </si>
  <si>
    <t xml:space="preserve">   Land Survey</t>
  </si>
  <si>
    <t xml:space="preserve">   Geotechnical Engineer</t>
  </si>
  <si>
    <t xml:space="preserve">   Structural Engineering</t>
  </si>
  <si>
    <t>Change Order #2A Septic Drawing for BP</t>
  </si>
  <si>
    <t xml:space="preserve">   ENGINEERING FEES — Subtotal</t>
  </si>
  <si>
    <t xml:space="preserve">  SITE WORK</t>
  </si>
  <si>
    <t xml:space="preserve">   Excavation, Backfill, Perimeter &amp; Drain Labour</t>
  </si>
  <si>
    <t xml:space="preserve">   Concrete Coring and Cutting and Removal</t>
  </si>
  <si>
    <t xml:space="preserve">   Contingency</t>
  </si>
  <si>
    <t>Change Order #2B Septic Field Work</t>
  </si>
  <si>
    <t xml:space="preserve">   SITE WORK — Subtotal</t>
  </si>
  <si>
    <t xml:space="preserve">  FOUNDATION</t>
  </si>
  <si>
    <t xml:space="preserve">   Footings &amp; Foundation Material</t>
  </si>
  <si>
    <t xml:space="preserve">   Footings &amp; Foundation Labour</t>
  </si>
  <si>
    <t xml:space="preserve">   Footings &amp; Foundation Concrete</t>
  </si>
  <si>
    <t xml:space="preserve">   Slab Prep - Labour</t>
  </si>
  <si>
    <t xml:space="preserve">   Slab Prep - Material</t>
  </si>
  <si>
    <t xml:space="preserve">   Garage Concrete Slab</t>
  </si>
  <si>
    <t xml:space="preserve">   Concrete Slab - Skim Coat</t>
  </si>
  <si>
    <t xml:space="preserve">   Concrete Slab Finishing Labour</t>
  </si>
  <si>
    <t xml:space="preserve">   Concrete Pump Truck</t>
  </si>
  <si>
    <t xml:space="preserve">   Damproofing</t>
  </si>
  <si>
    <t xml:space="preserve">   FOUNDATION — Subtotal</t>
  </si>
  <si>
    <t xml:space="preserve">  FRAMING</t>
  </si>
  <si>
    <t xml:space="preserve">   Framing Materials</t>
  </si>
  <si>
    <t xml:space="preserve">   Framing Labour</t>
  </si>
  <si>
    <t xml:space="preserve">   Roof Trusses</t>
  </si>
  <si>
    <t xml:space="preserve">   Engineering Parts</t>
  </si>
  <si>
    <t xml:space="preserve">   Steel Beam in Garage</t>
  </si>
  <si>
    <t xml:space="preserve">   Engineered Beams</t>
  </si>
  <si>
    <t xml:space="preserve">   FRAMING — Subtotal</t>
  </si>
  <si>
    <t xml:space="preserve">  WINDOWS</t>
  </si>
  <si>
    <t xml:space="preserve">   Windows</t>
  </si>
  <si>
    <t xml:space="preserve">   WINDOWS — Subtotal</t>
  </si>
  <si>
    <t xml:space="preserve">  DOORS</t>
  </si>
  <si>
    <t xml:space="preserve">   Exterior Doors and Interior Doors with Hardware</t>
  </si>
  <si>
    <t xml:space="preserve">   Garage Doors</t>
  </si>
  <si>
    <t xml:space="preserve">   DOORS — Subtotal</t>
  </si>
  <si>
    <t xml:space="preserve">  ELECTRICAL</t>
  </si>
  <si>
    <t xml:space="preserve">   Electrical Rough In</t>
  </si>
  <si>
    <t xml:space="preserve">   Electrical Fixtures</t>
  </si>
  <si>
    <t xml:space="preserve">   Service Upgrade to 400amp</t>
  </si>
  <si>
    <t xml:space="preserve">   Change Order #1 Island Electric - Electrical Underground Cable Repair</t>
  </si>
  <si>
    <t xml:space="preserve">   ELECTRICAL — Subtotal</t>
  </si>
  <si>
    <t xml:space="preserve">  PLUMBING</t>
  </si>
  <si>
    <t xml:space="preserve">   Plumbing Rough In</t>
  </si>
  <si>
    <t xml:space="preserve">   Plumbing Fixtures</t>
  </si>
  <si>
    <t xml:space="preserve">   PLUMBING — Subtotal</t>
  </si>
  <si>
    <t xml:space="preserve">  HVAC</t>
  </si>
  <si>
    <t xml:space="preserve">   Mechanical Rough In</t>
  </si>
  <si>
    <t xml:space="preserve">   Fireplace Unit Wood Burning</t>
  </si>
  <si>
    <t xml:space="preserve">   BBQ Connection</t>
  </si>
  <si>
    <t xml:space="preserve">   Gas/Propane Connection</t>
  </si>
  <si>
    <t xml:space="preserve">   HVAC — Subtotal</t>
  </si>
  <si>
    <t xml:space="preserve">  ROOFING</t>
  </si>
  <si>
    <t xml:space="preserve">   Roofing Supply &amp; Install</t>
  </si>
  <si>
    <t xml:space="preserve">   Metal Roof Painting</t>
  </si>
  <si>
    <t xml:space="preserve">   ROOFING — Subtotal</t>
  </si>
  <si>
    <t xml:space="preserve">  INSULATION &amp; DRYWALL</t>
  </si>
  <si>
    <t xml:space="preserve">   Insulation</t>
  </si>
  <si>
    <t xml:space="preserve">   Drywall</t>
  </si>
  <si>
    <t xml:space="preserve">   INSULATION &amp; DRYWALL — Subtotal</t>
  </si>
  <si>
    <t xml:space="preserve">  EXTERIOR VENEER</t>
  </si>
  <si>
    <t xml:space="preserve">   Siding Labour</t>
  </si>
  <si>
    <t xml:space="preserve">   Siding Materials</t>
  </si>
  <si>
    <t xml:space="preserve">   Soffit Supply &amp; Install</t>
  </si>
  <si>
    <t xml:space="preserve">   Gutters Supply &amp; Install</t>
  </si>
  <si>
    <t xml:space="preserve">   Trim Labour</t>
  </si>
  <si>
    <t xml:space="preserve">   EXTERIOR VENEER — Subtotal</t>
  </si>
  <si>
    <t xml:space="preserve">  MASONRY</t>
  </si>
  <si>
    <t xml:space="preserve">   Interior Masonry - Supply &amp; Install</t>
  </si>
  <si>
    <t xml:space="preserve">   MASONRY — Subtotal</t>
  </si>
  <si>
    <t xml:space="preserve">  CABINETRY &amp; COUNTERTOPS</t>
  </si>
  <si>
    <t xml:space="preserve">   Cabinetry Supply and Install</t>
  </si>
  <si>
    <t xml:space="preserve">   Countertop Supply &amp; Install</t>
  </si>
  <si>
    <t xml:space="preserve">   Walk In Closet</t>
  </si>
  <si>
    <t xml:space="preserve">   CABINETRY &amp; COUNTERTOPS — Subtotal</t>
  </si>
  <si>
    <t xml:space="preserve">  INTERIOR FINISHING</t>
  </si>
  <si>
    <t xml:space="preserve">   Finishing Carpentry</t>
  </si>
  <si>
    <t xml:space="preserve">   Interior Trim Materials</t>
  </si>
  <si>
    <t xml:space="preserve">   Stair System Materials</t>
  </si>
  <si>
    <t xml:space="preserve">   Bathroom Hardware</t>
  </si>
  <si>
    <t xml:space="preserve">   Shower Glass Doors</t>
  </si>
  <si>
    <t xml:space="preserve">   Mirrors</t>
  </si>
  <si>
    <t xml:space="preserve">   Mantle</t>
  </si>
  <si>
    <t xml:space="preserve">   Interior Cedar Beam Wraps/False Beams</t>
  </si>
  <si>
    <t xml:space="preserve">   Shiplap for Electric Fireplace</t>
  </si>
  <si>
    <t xml:space="preserve">   INTERIOR FINISHING — Subtotal</t>
  </si>
  <si>
    <t xml:space="preserve">  WOOD FLOOR COVERINGS</t>
  </si>
  <si>
    <t xml:space="preserve">   Flooring Material - Addition</t>
  </si>
  <si>
    <t xml:space="preserve">   Flooring Install Labour - Addition</t>
  </si>
  <si>
    <t xml:space="preserve">   Floor Sanding &amp; Prep</t>
  </si>
  <si>
    <t xml:space="preserve">   Protective Floor Covering</t>
  </si>
  <si>
    <t xml:space="preserve">   Old Flooring Removal - Existing House</t>
  </si>
  <si>
    <t xml:space="preserve">   Flooring Material - Existing House</t>
  </si>
  <si>
    <t xml:space="preserve">   Flooring Installation - Existing House</t>
  </si>
  <si>
    <t xml:space="preserve">   WOOD FLOOR COVERINGS — Subtotal</t>
  </si>
  <si>
    <t xml:space="preserve">  TILE</t>
  </si>
  <si>
    <t xml:space="preserve">   Floor Tile Material - Addition</t>
  </si>
  <si>
    <t xml:space="preserve">   Floor Tile Install Labour - Addition</t>
  </si>
  <si>
    <t xml:space="preserve">   Floor Tile Prep</t>
  </si>
  <si>
    <t xml:space="preserve">   Wall Tile Material (Ensuite &amp; Main Bath Shower)</t>
  </si>
  <si>
    <t xml:space="preserve">   Wall Tile Labour (Ensuite &amp; Main Bath Shower)</t>
  </si>
  <si>
    <t xml:space="preserve">   Backsplash Tile Material</t>
  </si>
  <si>
    <t xml:space="preserve">   Backsplash Tile Labour</t>
  </si>
  <si>
    <t xml:space="preserve">   Heated Floor Prep</t>
  </si>
  <si>
    <t xml:space="preserve">   Thermostats</t>
  </si>
  <si>
    <t xml:space="preserve">   Ensuite Shower Linear Drain</t>
  </si>
  <si>
    <t xml:space="preserve">   Floor Tile Material - Existing House</t>
  </si>
  <si>
    <t xml:space="preserve">   Floor Tile Installation - Existing House</t>
  </si>
  <si>
    <t xml:space="preserve">   Floor Tile Removal - Existing House</t>
  </si>
  <si>
    <t xml:space="preserve">   TILE — Subtotal</t>
  </si>
  <si>
    <t xml:space="preserve">  PAINT</t>
  </si>
  <si>
    <t xml:space="preserve">   Interior Paint</t>
  </si>
  <si>
    <t xml:space="preserve">   Exterior Paint</t>
  </si>
  <si>
    <t xml:space="preserve">   Door Painting &amp; Staining</t>
  </si>
  <si>
    <t xml:space="preserve">   Interior Staining T&amp;G and Beams</t>
  </si>
  <si>
    <t xml:space="preserve">   PAINT — Subtotal</t>
  </si>
  <si>
    <t xml:space="preserve">  EXTERIOR HARDSCAPE</t>
  </si>
  <si>
    <t xml:space="preserve">   Patio Driveway Stone Removal</t>
  </si>
  <si>
    <t xml:space="preserve">   New Concrete Driveway to New Garage Bays Material</t>
  </si>
  <si>
    <t xml:space="preserve">   New Concrete Driveway Finishing</t>
  </si>
  <si>
    <t xml:space="preserve">   Forming Driveway Labour</t>
  </si>
  <si>
    <t xml:space="preserve">   EXTERIOR HARDSCAPE — Subtotal</t>
  </si>
  <si>
    <t xml:space="preserve">  CONSTRUCTION CLEAN UP</t>
  </si>
  <si>
    <t xml:space="preserve">   Clean Up Labour</t>
  </si>
  <si>
    <t xml:space="preserve">   Disposal &amp; Dump Fees</t>
  </si>
  <si>
    <t xml:space="preserve">   Dumpster Rental</t>
  </si>
  <si>
    <t xml:space="preserve">   Final Site Clean</t>
  </si>
  <si>
    <t xml:space="preserve">   CONSTRUCTION CLEAN UP — Subtotal</t>
  </si>
  <si>
    <t xml:space="preserve">  JOBSITE FACILITIES</t>
  </si>
  <si>
    <t xml:space="preserve">   Portable Washroom</t>
  </si>
  <si>
    <t xml:space="preserve">   Site Signage</t>
  </si>
  <si>
    <t xml:space="preserve">   Tool &amp; Rental Equipment</t>
  </si>
  <si>
    <t xml:space="preserve">   Scaffolding</t>
  </si>
  <si>
    <t xml:space="preserve">   JOBSITE FACILITIES — Subtotal</t>
  </si>
  <si>
    <t xml:space="preserve">  PROJECT MANAGEMENT</t>
  </si>
  <si>
    <t xml:space="preserve">   Management &amp; Supervision</t>
  </si>
  <si>
    <t>Credit - Management Billing as per Pricing Contract</t>
  </si>
  <si>
    <t xml:space="preserve">   Accounting &amp; Admin</t>
  </si>
  <si>
    <t xml:space="preserve">   PROJECT MANAGEMENT — Subtotal</t>
  </si>
  <si>
    <t xml:space="preserve">  MISCELLANEOUS</t>
  </si>
  <si>
    <t xml:space="preserve">   Travel</t>
  </si>
  <si>
    <t xml:space="preserve">   Deficiencies</t>
  </si>
  <si>
    <t xml:space="preserve">   Demolition</t>
  </si>
  <si>
    <t xml:space="preserve">   Demolition Dembri removal labour</t>
  </si>
  <si>
    <t xml:space="preserve">   MISCELLANEOUS — Subtotal</t>
  </si>
  <si>
    <t>Project Subtotal</t>
  </si>
  <si>
    <t>15% Mark-up</t>
  </si>
  <si>
    <t>GST (5%)</t>
  </si>
  <si>
    <t>PROJECT TOTAL</t>
  </si>
  <si>
    <t xml:space="preserve">  COLOUR LEGEND</t>
  </si>
  <si>
    <t>Date</t>
  </si>
  <si>
    <t>Name</t>
  </si>
  <si>
    <t>Billing Status</t>
  </si>
  <si>
    <t>Duration</t>
  </si>
  <si>
    <t>Rate</t>
  </si>
  <si>
    <t>Amount</t>
  </si>
  <si>
    <t>Project Managment</t>
  </si>
  <si>
    <t>Russell McMann</t>
  </si>
  <si>
    <t>Unbilled</t>
  </si>
  <si>
    <t>James McMann</t>
  </si>
  <si>
    <t>Abdullah Ibn Alamir</t>
  </si>
  <si>
    <t>Kevin Mammen</t>
  </si>
  <si>
    <t>Total Project Managment</t>
  </si>
  <si>
    <t>Travel Time</t>
  </si>
  <si>
    <t>Total Timesheet</t>
  </si>
  <si>
    <t>Type</t>
  </si>
  <si>
    <t>Num</t>
  </si>
  <si>
    <t>Memo</t>
  </si>
  <si>
    <t>Ecolibrium Energy Solutions Inc.</t>
  </si>
  <si>
    <t>Bill</t>
  </si>
  <si>
    <t>Ecolibrium Energy Solutions Inc. Energy Advisor Report 2344</t>
  </si>
  <si>
    <t>Total Ecolibrium Energy Solutions Inc.</t>
  </si>
  <si>
    <t>Island Electric Company</t>
  </si>
  <si>
    <t>Island Electric Company Change Order Underground Cable Replacement 1189-1</t>
  </si>
  <si>
    <t>Total Island Electric Company</t>
  </si>
  <si>
    <t>JE Anderson &amp; Associates</t>
  </si>
  <si>
    <t>0066328</t>
  </si>
  <si>
    <t>JE Anderson &amp; Associates Survey 0066328</t>
  </si>
  <si>
    <t>0067130</t>
  </si>
  <si>
    <t>JE Anderson &amp; Associates Survey 0067130</t>
  </si>
  <si>
    <t>Total JE Anderson &amp; Associates</t>
  </si>
  <si>
    <t>Kivela Contracting Ltd.</t>
  </si>
  <si>
    <t>Kivela Contracting Ltd. Septic Design and Permit 2658</t>
  </si>
  <si>
    <t>Kivela Contracting Ltd. Site Work 2694</t>
  </si>
  <si>
    <t>Kivela Contracting Ltd. Change Order Septic Field Work 2694</t>
  </si>
  <si>
    <t>Total Kivela Contracting Ltd.</t>
  </si>
  <si>
    <t>Lewkowich Engineering Associates Ltd</t>
  </si>
  <si>
    <t>Lewkowich Engineering Associates Ltd Geotechnical Assessment Report 102800</t>
  </si>
  <si>
    <t>Lewkowich Engineering Associates Ltd Geotechnical Assessment Report 103557</t>
  </si>
  <si>
    <t>Lewkowich Engineering Associates Ltd Geotechnical Engineering 104422</t>
  </si>
  <si>
    <t>Total Lewkowich Engineering Associates Ltd</t>
  </si>
  <si>
    <t>Print Three Nanaimo</t>
  </si>
  <si>
    <t>5-36986</t>
  </si>
  <si>
    <t>Print Three Nanaimo Revised Plan Printing 5-36986</t>
  </si>
  <si>
    <t>Total Print Three Nanaimo</t>
  </si>
  <si>
    <t>Regional District of Nanaimo</t>
  </si>
  <si>
    <t>Regional District of Nanaimo Building Permit Fees 2182719713</t>
  </si>
  <si>
    <t>PR20250000587</t>
  </si>
  <si>
    <t>Regional District of Nanaimo Building Permit PR20250000587</t>
  </si>
  <si>
    <t>Total Regional District of Nanaimo</t>
  </si>
  <si>
    <t>Change Order #1 JXN Solutions: Footings and Foundation Labour</t>
  </si>
  <si>
    <t>1047335 B.C. LTD (dba Complete Damp Proof</t>
  </si>
  <si>
    <t>1047335 B.C. LTD (dba Complete Damp Proof Damp proofing  11561</t>
  </si>
  <si>
    <t>Total 1047335 B.C. LTD (dba Complete Damp Proof</t>
  </si>
  <si>
    <t>DBL Disposal Services Ltd</t>
  </si>
  <si>
    <t>Total DBL Disposal Services Ltd</t>
  </si>
  <si>
    <t>Heidelberg Materials Canada Limited</t>
  </si>
  <si>
    <t>Heidelberg Materials Canada Limited Concrete Footings 3190336</t>
  </si>
  <si>
    <t>Heidelberg Materials Canada Limited Concrete Walls 3191123</t>
  </si>
  <si>
    <t>Total Heidelberg Materials Canada Limited</t>
  </si>
  <si>
    <t>Island Concrete Pumping Ltd</t>
  </si>
  <si>
    <t>Island Concrete Pumping Ltd Concrete Pump Truck 28435</t>
  </si>
  <si>
    <t>Island Concrete Pumping Ltd Concrete Pump Truck 28478</t>
  </si>
  <si>
    <t>Total Island Concrete Pumping Ltd</t>
  </si>
  <si>
    <t>0067962</t>
  </si>
  <si>
    <t>JE Anderson &amp; Associates Survey 0067962</t>
  </si>
  <si>
    <t>JXN SOLUTIONS LTD</t>
  </si>
  <si>
    <t>invoice 39</t>
  </si>
  <si>
    <t>JXN SOLUTIONS LTD Footings and Foundation Labour invoice 39</t>
  </si>
  <si>
    <t>JXN SOLUTIONS LTD Change Order Footings and Foundation Labour invoice 39</t>
  </si>
  <si>
    <t>Total JXN SOLUTIONS LTD</t>
  </si>
  <si>
    <t>Lewkowich Engineering Associates Ltd Geotechnical Engineering 104886</t>
  </si>
  <si>
    <t>5-37167</t>
  </si>
  <si>
    <t>Print Three Nanaimo Plan Printing 5-37167</t>
  </si>
  <si>
    <t>Credit Card Charge</t>
  </si>
  <si>
    <t>Regional District of Nanaimo BP Revision  2405438517</t>
  </si>
  <si>
    <t>Rona 221227- Mcmann Group</t>
  </si>
  <si>
    <t>103-25261351</t>
  </si>
  <si>
    <t>Rona Footings and Foundation Material 103-25261351</t>
  </si>
  <si>
    <t>103-25259301</t>
  </si>
  <si>
    <t>Rona Engineering Material 103-25259301</t>
  </si>
  <si>
    <t>Total Rona 221227- Mcmann Group</t>
  </si>
  <si>
    <t>Slegg Building Materials</t>
  </si>
  <si>
    <t>IN5565137</t>
  </si>
  <si>
    <t>Slegg Building Material Footings and Foundation Material IN5565137</t>
  </si>
  <si>
    <t>IN5567055</t>
  </si>
  <si>
    <t>Slegg Building Material Footings and Foundation Material IN5567055</t>
  </si>
  <si>
    <t>IN5570960</t>
  </si>
  <si>
    <t>Slegg Building Material Footings and Foundation Material IN5570960</t>
  </si>
  <si>
    <t>IN5571123</t>
  </si>
  <si>
    <t>Slegg Building Material Footings and Foundation Material IN5571123</t>
  </si>
  <si>
    <t>Total Slegg Building Materials</t>
  </si>
  <si>
    <t>DBL  Portable Washroom-  305329</t>
  </si>
  <si>
    <t xml:space="preserve">DBL Disposal Services Ltd Portable Washroom- 305327  </t>
  </si>
  <si>
    <t>EWO-1189-1A</t>
  </si>
  <si>
    <t>Total Vendor Detail</t>
  </si>
  <si>
    <t>Total Travel Time</t>
  </si>
  <si>
    <t>Coastline Plumbing Ltd</t>
  </si>
  <si>
    <t>Coastline Plumbing Ltd Radon Piping, Relocation of water service 3247</t>
  </si>
  <si>
    <t>Total Coastline Plumbing Ltd</t>
  </si>
  <si>
    <t xml:space="preserve">DBL Disposal Services Ltd Portable Washroom- 307885  </t>
  </si>
  <si>
    <t>DBL Disposal Services Ltd Disposal Bins 316498</t>
  </si>
  <si>
    <t>Heidelberg Materials Canada Limited Concrete Skim Coat 3194511</t>
  </si>
  <si>
    <t>EWO-1189-2</t>
  </si>
  <si>
    <t>Island Electric Company Change Order Main 400A Service Feeder Cables EWO-1189-2</t>
  </si>
  <si>
    <t>Island Electric Company Change Order Receptacle and Future Lighting Circuit EWO-1189-2</t>
  </si>
  <si>
    <t>Island Electric Company Change Order Future Swimming Pool Sub-feed  EWO-1189-2</t>
  </si>
  <si>
    <t>1189-1</t>
  </si>
  <si>
    <t>Island Electric Company 400A Service Upgrade 1189-1</t>
  </si>
  <si>
    <t>0068312</t>
  </si>
  <si>
    <t>JE Anderson &amp; Associates Survey 0068312</t>
  </si>
  <si>
    <t>Kivela Contracting Ltd. Site Work 2697</t>
  </si>
  <si>
    <t>Kyle Windle</t>
  </si>
  <si>
    <t>Kyle Windle Demolition Labour</t>
  </si>
  <si>
    <t>Total Kyle Windle</t>
  </si>
  <si>
    <t>Lewkowich Engineering Associates Ltd Geotech Report 105386</t>
  </si>
  <si>
    <t>103-25311001</t>
  </si>
  <si>
    <t>Rona Footings and Foundation Material 103-25311001</t>
  </si>
  <si>
    <t>103-25314501</t>
  </si>
  <si>
    <t>Rona Framing Material Cost 103-25314501</t>
  </si>
  <si>
    <t>103-25314711</t>
  </si>
  <si>
    <t>Rona Framing Material Cost 103-25314711</t>
  </si>
  <si>
    <t>83323-10489571</t>
  </si>
  <si>
    <t>Rona Framing Material Cost 83323-10489571</t>
  </si>
  <si>
    <t xml:space="preserve"> 103-25300781</t>
  </si>
  <si>
    <t>Rona Framing Material Cost  103-25300781</t>
  </si>
  <si>
    <t>103-25300782</t>
  </si>
  <si>
    <t>Rona Framing Material Cost  103-25300782</t>
  </si>
  <si>
    <t>103-25300591</t>
  </si>
  <si>
    <t>Rona Framing Material Cost  103-25300591</t>
  </si>
  <si>
    <t>103-25300921</t>
  </si>
  <si>
    <t>Rona Framing Material Cost  103-25300921</t>
  </si>
  <si>
    <t>Russel Metals Inc</t>
  </si>
  <si>
    <t>Russel Metals Inc Framing Steel Beams 75624994</t>
  </si>
  <si>
    <t>Total Russel Metals Inc</t>
  </si>
  <si>
    <t>IN3-0043992</t>
  </si>
  <si>
    <t>Slegg Building Materials Framing Material Cost IN3-0043992</t>
  </si>
  <si>
    <t>Sunbelt Rentals</t>
  </si>
  <si>
    <t>80009140-0001</t>
  </si>
  <si>
    <t>Sunbelt Rental Rental Equipment</t>
  </si>
  <si>
    <t>Total Sunbelt Rentals</t>
  </si>
  <si>
    <t>Westcoast Cutting and Coring Ltd.</t>
  </si>
  <si>
    <t>Westcoast Cutting and Coring Ltd. Foundation Labour 2115166</t>
  </si>
  <si>
    <t>Total Westcoast Cutting and Coring Ltd.</t>
  </si>
  <si>
    <t>Alaa Kadah</t>
  </si>
  <si>
    <t>Fielding K Benton</t>
  </si>
  <si>
    <t>Excel Concrete Finishing Inc</t>
  </si>
  <si>
    <t>Excel Concrete Finishing Inc Slab Finishng 3038</t>
  </si>
  <si>
    <t>Total Excel Concrete Finishing Inc</t>
  </si>
  <si>
    <t>Change Order 3: Electrical Change Order - 400A Service Upgrade &amp; Underground Extra Work</t>
  </si>
  <si>
    <t xml:space="preserve">   Site Work - Outside Scope of Work</t>
  </si>
  <si>
    <t>Foundation:Slap Prep Labor</t>
  </si>
  <si>
    <t>Total Foundation:Slap Prep Labor</t>
  </si>
  <si>
    <t>Demolition</t>
  </si>
  <si>
    <t>Total Demolition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</si>
</sst>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\-* \-??_);_(@_)"/>
    <numFmt numFmtId="165" formatCode="mm/dd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D0D0D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D0D0D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D0D0D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323232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C0C0C0"/>
        <bgColor rgb="FFC0C0C0"/>
      </patternFill>
    </fill>
    <fill>
      <patternFill patternType="solid">
        <fgColor rgb="FFF7F7F7"/>
        <bgColor rgb="FFF7F7F7"/>
      </patternFill>
    </fill>
    <fill>
      <patternFill patternType="solid">
        <fgColor rgb="FFE8E8E8"/>
        <bgColor rgb="FFE8E8E8"/>
      </patternFill>
    </fill>
    <fill>
      <patternFill patternType="solid">
        <fgColor rgb="FF2B2B2B"/>
        <bgColor rgb="FF2B2B2B"/>
      </patternFill>
    </fill>
    <fill>
      <patternFill patternType="solid">
        <fgColor rgb="FFFFFFFF"/>
        <bgColor rgb="FFFFFFFF"/>
      </patternFill>
    </fill>
    <fill>
      <patternFill patternType="solid">
        <fgColor rgb="FFFDF0C2"/>
        <bgColor rgb="FFFDF0C2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2B2B2B"/>
      </top>
      <bottom style="thin">
        <color rgb="FF2B2B2B"/>
      </bottom>
      <diagonal/>
    </border>
    <border>
      <left style="thin">
        <color rgb="FFD0D0D0"/>
      </left>
      <right style="thin">
        <color rgb="FFD0D0D0"/>
      </right>
      <top style="thin">
        <color rgb="FF2B2B2B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00000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4">
    <xf numFmtId="0" fontId="0" fillId="0" borderId="0"/>
    <xf numFmtId="0" fontId="2" fillId="0" borderId="4"/>
    <xf numFmtId="0" fontId="13" fillId="0" borderId="4"/>
    <xf numFmtId="0" fontId="1" fillId="0" borderId="4"/>
  </cellStyleXfs>
  <cellXfs count="84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4" fillId="0" borderId="0" xfId="0" applyNumberFormat="1" applyFont="1"/>
    <xf numFmtId="0" fontId="6" fillId="8" borderId="1" xfId="0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right" vertical="center"/>
    </xf>
    <xf numFmtId="4" fontId="4" fillId="0" borderId="0" xfId="0" applyNumberFormat="1" applyFont="1"/>
    <xf numFmtId="0" fontId="9" fillId="9" borderId="1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left" vertical="center"/>
    </xf>
    <xf numFmtId="164" fontId="11" fillId="10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left" vertical="center"/>
    </xf>
    <xf numFmtId="164" fontId="11" fillId="11" borderId="1" xfId="0" applyNumberFormat="1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49" fontId="12" fillId="0" borderId="0" xfId="0" applyNumberFormat="1" applyFont="1"/>
    <xf numFmtId="164" fontId="12" fillId="0" borderId="0" xfId="0" applyNumberFormat="1" applyFont="1"/>
    <xf numFmtId="0" fontId="9" fillId="9" borderId="4" xfId="0" applyFont="1" applyFill="1" applyBorder="1" applyAlignment="1">
      <alignment horizontal="left" vertical="center" wrapText="1"/>
    </xf>
    <xf numFmtId="164" fontId="9" fillId="9" borderId="4" xfId="0" applyNumberFormat="1" applyFont="1" applyFill="1" applyBorder="1" applyAlignment="1">
      <alignment horizontal="right" vertical="center"/>
    </xf>
    <xf numFmtId="164" fontId="9" fillId="13" borderId="7" xfId="0" applyNumberFormat="1" applyFont="1" applyFill="1" applyBorder="1"/>
    <xf numFmtId="164" fontId="6" fillId="13" borderId="8" xfId="0" applyNumberFormat="1" applyFont="1" applyFill="1" applyBorder="1"/>
    <xf numFmtId="164" fontId="6" fillId="12" borderId="8" xfId="0" applyNumberFormat="1" applyFont="1" applyFill="1" applyBorder="1"/>
    <xf numFmtId="164" fontId="6" fillId="13" borderId="7" xfId="0" applyNumberFormat="1" applyFont="1" applyFill="1" applyBorder="1"/>
    <xf numFmtId="164" fontId="6" fillId="12" borderId="7" xfId="0" applyNumberFormat="1" applyFont="1" applyFill="1" applyBorder="1"/>
    <xf numFmtId="49" fontId="9" fillId="13" borderId="9" xfId="0" applyNumberFormat="1" applyFont="1" applyFill="1" applyBorder="1"/>
    <xf numFmtId="49" fontId="9" fillId="13" borderId="7" xfId="0" applyNumberFormat="1" applyFont="1" applyFill="1" applyBorder="1"/>
    <xf numFmtId="165" fontId="9" fillId="13" borderId="7" xfId="0" applyNumberFormat="1" applyFont="1" applyFill="1" applyBorder="1" applyAlignment="1">
      <alignment horizontal="center"/>
    </xf>
    <xf numFmtId="49" fontId="9" fillId="13" borderId="7" xfId="0" applyNumberFormat="1" applyFont="1" applyFill="1" applyBorder="1" applyAlignment="1">
      <alignment horizontal="center"/>
    </xf>
    <xf numFmtId="39" fontId="9" fillId="13" borderId="7" xfId="0" applyNumberFormat="1" applyFont="1" applyFill="1" applyBorder="1" applyAlignment="1">
      <alignment horizontal="center"/>
    </xf>
    <xf numFmtId="49" fontId="6" fillId="12" borderId="7" xfId="0" applyNumberFormat="1" applyFont="1" applyFill="1" applyBorder="1"/>
    <xf numFmtId="165" fontId="6" fillId="12" borderId="7" xfId="0" applyNumberFormat="1" applyFont="1" applyFill="1" applyBorder="1" applyAlignment="1">
      <alignment horizontal="center"/>
    </xf>
    <xf numFmtId="49" fontId="6" fillId="12" borderId="7" xfId="0" applyNumberFormat="1" applyFont="1" applyFill="1" applyBorder="1" applyAlignment="1">
      <alignment horizontal="center"/>
    </xf>
    <xf numFmtId="39" fontId="6" fillId="12" borderId="7" xfId="0" applyNumberFormat="1" applyFont="1" applyFill="1" applyBorder="1" applyAlignment="1">
      <alignment horizontal="center"/>
    </xf>
    <xf numFmtId="49" fontId="6" fillId="13" borderId="7" xfId="0" applyNumberFormat="1" applyFont="1" applyFill="1" applyBorder="1"/>
    <xf numFmtId="165" fontId="6" fillId="13" borderId="7" xfId="0" applyNumberFormat="1" applyFont="1" applyFill="1" applyBorder="1" applyAlignment="1">
      <alignment horizontal="center"/>
    </xf>
    <xf numFmtId="49" fontId="6" fillId="13" borderId="7" xfId="0" applyNumberFormat="1" applyFont="1" applyFill="1" applyBorder="1" applyAlignment="1">
      <alignment horizontal="center"/>
    </xf>
    <xf numFmtId="39" fontId="6" fillId="13" borderId="7" xfId="0" applyNumberFormat="1" applyFont="1" applyFill="1" applyBorder="1" applyAlignment="1">
      <alignment horizontal="center"/>
    </xf>
    <xf numFmtId="165" fontId="9" fillId="13" borderId="7" xfId="0" applyNumberFormat="1" applyFont="1" applyFill="1" applyBorder="1"/>
    <xf numFmtId="49" fontId="8" fillId="14" borderId="7" xfId="0" applyNumberFormat="1" applyFont="1" applyFill="1" applyBorder="1"/>
    <xf numFmtId="165" fontId="8" fillId="14" borderId="7" xfId="0" applyNumberFormat="1" applyFont="1" applyFill="1" applyBorder="1"/>
    <xf numFmtId="49" fontId="6" fillId="12" borderId="9" xfId="0" applyNumberFormat="1" applyFont="1" applyFill="1" applyBorder="1" applyAlignment="1">
      <alignment horizontal="center"/>
    </xf>
    <xf numFmtId="39" fontId="6" fillId="13" borderId="8" xfId="0" applyNumberFormat="1" applyFont="1" applyFill="1" applyBorder="1" applyAlignment="1">
      <alignment horizontal="center"/>
    </xf>
    <xf numFmtId="39" fontId="9" fillId="13" borderId="11" xfId="0" applyNumberFormat="1" applyFont="1" applyFill="1" applyBorder="1" applyAlignment="1">
      <alignment horizontal="center"/>
    </xf>
    <xf numFmtId="164" fontId="9" fillId="13" borderId="11" xfId="0" applyNumberFormat="1" applyFont="1" applyFill="1" applyBorder="1"/>
    <xf numFmtId="39" fontId="6" fillId="12" borderId="8" xfId="0" applyNumberFormat="1" applyFont="1" applyFill="1" applyBorder="1" applyAlignment="1">
      <alignment horizontal="center"/>
    </xf>
    <xf numFmtId="39" fontId="9" fillId="13" borderId="10" xfId="0" applyNumberFormat="1" applyFont="1" applyFill="1" applyBorder="1" applyAlignment="1">
      <alignment horizontal="center"/>
    </xf>
    <xf numFmtId="164" fontId="9" fillId="13" borderId="10" xfId="0" applyNumberFormat="1" applyFont="1" applyFill="1" applyBorder="1"/>
    <xf numFmtId="49" fontId="6" fillId="13" borderId="9" xfId="0" applyNumberFormat="1" applyFont="1" applyFill="1" applyBorder="1" applyAlignment="1">
      <alignment horizontal="center"/>
    </xf>
    <xf numFmtId="39" fontId="8" fillId="14" borderId="11" xfId="0" applyNumberFormat="1" applyFont="1" applyFill="1" applyBorder="1" applyAlignment="1">
      <alignment horizontal="center"/>
    </xf>
    <xf numFmtId="164" fontId="8" fillId="14" borderId="11" xfId="0" applyNumberFormat="1" applyFont="1" applyFill="1" applyBorder="1"/>
    <xf numFmtId="0" fontId="3" fillId="15" borderId="4" xfId="3" applyFont="1" applyFill="1" applyAlignment="1">
      <alignment vertical="center"/>
    </xf>
    <xf numFmtId="0" fontId="1" fillId="0" borderId="4" xfId="3"/>
    <xf numFmtId="0" fontId="7" fillId="14" borderId="4" xfId="3" applyFont="1" applyFill="1" applyAlignment="1">
      <alignment horizontal="center" vertical="center"/>
    </xf>
    <xf numFmtId="0" fontId="4" fillId="2" borderId="4" xfId="3" applyFont="1" applyFill="1"/>
    <xf numFmtId="0" fontId="14" fillId="14" borderId="4" xfId="0" applyFont="1" applyFill="1" applyBorder="1" applyAlignment="1">
      <alignment horizontal="left"/>
    </xf>
    <xf numFmtId="164" fontId="14" fillId="14" borderId="4" xfId="0" applyNumberFormat="1" applyFont="1" applyFill="1" applyBorder="1" applyAlignment="1">
      <alignment horizontal="left"/>
    </xf>
    <xf numFmtId="0" fontId="8" fillId="3" borderId="2" xfId="0" applyFont="1" applyFill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8" fillId="7" borderId="2" xfId="0" applyFont="1" applyFill="1" applyBorder="1" applyAlignment="1">
      <alignment horizontal="left" vertical="center"/>
    </xf>
    <xf numFmtId="0" fontId="9" fillId="0" borderId="4" xfId="3" applyFont="1" applyFill="1" applyAlignment="1">
      <alignment horizontal="left" vertical="center"/>
    </xf>
    <xf numFmtId="0" fontId="9" fillId="0" borderId="4" xfId="3" applyFont="1" applyFill="1" applyAlignment="1">
      <alignment horizontal="center" vertical="center"/>
    </xf>
    <xf numFmtId="165" fontId="9" fillId="0" borderId="4" xfId="3" applyNumberFormat="1" applyFont="1" applyFill="1" applyAlignment="1">
      <alignment horizontal="center" vertical="center"/>
    </xf>
    <xf numFmtId="164" fontId="9" fillId="0" borderId="4" xfId="3" applyNumberFormat="1" applyFont="1" applyFill="1" applyAlignment="1">
      <alignment vertical="center"/>
    </xf>
    <xf numFmtId="0" fontId="6" fillId="0" borderId="4" xfId="3" applyFont="1" applyFill="1" applyAlignment="1">
      <alignment horizontal="left" vertical="center"/>
    </xf>
    <xf numFmtId="0" fontId="6" fillId="0" borderId="4" xfId="3" applyFont="1" applyFill="1" applyAlignment="1">
      <alignment horizontal="center" vertical="center"/>
    </xf>
    <xf numFmtId="165" fontId="6" fillId="0" borderId="4" xfId="3" applyNumberFormat="1" applyFont="1" applyFill="1" applyAlignment="1">
      <alignment horizontal="center" vertical="center"/>
    </xf>
    <xf numFmtId="164" fontId="6" fillId="0" borderId="4" xfId="3" applyNumberFormat="1" applyFont="1" applyFill="1" applyAlignment="1">
      <alignment vertical="center"/>
    </xf>
    <xf numFmtId="0" fontId="15" fillId="0" borderId="4" xfId="3" applyFont="1" applyFill="1" applyAlignment="1">
      <alignment horizontal="left" vertical="center"/>
    </xf>
    <xf numFmtId="0" fontId="1" fillId="0" borderId="4" xfId="3" applyFill="1"/>
    <xf numFmtId="0" fontId="16" fillId="0" borderId="4" xfId="3" applyFont="1" applyFill="1"/>
    <xf numFmtId="0" fontId="13" fillId="0" borderId="4" xfId="3" applyFont="1" applyFill="1" applyAlignment="1">
      <alignment vertical="center"/>
    </xf>
    <xf numFmtId="0" fontId="13" fillId="0" borderId="4" xfId="3" applyFont="1" applyFill="1" applyAlignment="1">
      <alignment horizontal="left" vertical="center"/>
    </xf>
    <xf numFmtId="164" fontId="13" fillId="0" borderId="4" xfId="3" applyNumberFormat="1" applyFont="1" applyFill="1" applyAlignment="1">
      <alignment vertical="center"/>
    </xf>
    <xf numFmtId="0" fontId="1" fillId="0" borderId="4" xfId="3" applyFont="1" applyFill="1"/>
  </cellXfs>
  <cellStyles count="4">
    <cellStyle name="Normal" xfId="0" builtinId="0"/>
    <cellStyle name="Normal 2" xfId="2" xr:uid="{E040C674-8139-499F-88CE-A03ACE0898C6}"/>
    <cellStyle name="Normal 3" xfId="1" xr:uid="{51C1B919-1D95-437F-BB70-11C8664C054D}"/>
    <cellStyle name="Normal 4" xfId="3" xr:uid="{6D26449F-029D-4F20-98CB-E65507AFAB12}"/>
  </cellStyles>
  <dxfs count="4">
    <dxf>
      <fill>
        <patternFill patternType="solid">
          <fgColor rgb="FFFDF0C2"/>
          <bgColor rgb="FFFDF0C2"/>
        </patternFill>
      </fill>
    </dxf>
    <dxf>
      <font>
        <color rgb="FF000000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DF0C2"/>
          <bgColor rgb="FFFDF0C2"/>
        </patternFill>
      </fill>
    </dxf>
    <dxf>
      <font>
        <color rgb="FF000000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2DB85B-064D-4AA3-ACBC-75108878BD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7b919f9-3ffc-42da-9f9a-48af316461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topLeftCell="A201" zoomScale="160" zoomScaleNormal="160" workbookViewId="0">
      <selection activeCell="E10" sqref="E10"/>
    </sheetView>
  </sheetViews>
  <sheetFormatPr defaultColWidth="14.44140625" defaultRowHeight="15" customHeight="1" x14ac:dyDescent="0.3"/>
  <cols>
    <col min="1" max="1" width="40.5546875" customWidth="1"/>
    <col min="2" max="2" width="14.33203125" customWidth="1"/>
    <col min="3" max="3" width="14.88671875" customWidth="1"/>
    <col min="4" max="4" width="15.44140625" customWidth="1"/>
    <col min="5" max="5" width="14.88671875" customWidth="1"/>
    <col min="6" max="6" width="14.5546875" bestFit="1" customWidth="1"/>
    <col min="7" max="7" width="13.6640625" customWidth="1"/>
    <col min="8" max="8" width="19.88671875" customWidth="1"/>
    <col min="9" max="9" width="16.33203125" customWidth="1"/>
    <col min="10" max="11" width="8.6640625" customWidth="1"/>
    <col min="12" max="12" width="11.6640625" customWidth="1"/>
    <col min="13" max="26" width="8.6640625" customWidth="1"/>
  </cols>
  <sheetData>
    <row r="1" spans="1:12" ht="3.75" customHeight="1" x14ac:dyDescent="0.3">
      <c r="A1" s="1"/>
      <c r="B1" s="1"/>
      <c r="C1" s="1"/>
      <c r="D1" s="1"/>
      <c r="E1" s="1"/>
      <c r="F1" s="1"/>
      <c r="G1" s="1"/>
      <c r="H1" s="1"/>
    </row>
    <row r="2" spans="1:12" ht="27.75" customHeight="1" x14ac:dyDescent="0.3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12" ht="18" customHeight="1" x14ac:dyDescent="0.3"/>
    <row r="4" spans="1:12" ht="18" customHeight="1" x14ac:dyDescent="0.3">
      <c r="A4" s="65" t="s">
        <v>8</v>
      </c>
      <c r="B4" s="66"/>
      <c r="C4" s="66"/>
      <c r="D4" s="66"/>
      <c r="E4" s="66"/>
      <c r="F4" s="66"/>
      <c r="G4" s="66"/>
      <c r="H4" s="67"/>
    </row>
    <row r="5" spans="1:12" ht="18" customHeight="1" x14ac:dyDescent="0.3">
      <c r="A5" s="2" t="s">
        <v>9</v>
      </c>
      <c r="B5" s="6">
        <v>800</v>
      </c>
      <c r="C5" s="6">
        <f>321.75+71.16</f>
        <v>392.90999999999997</v>
      </c>
      <c r="D5" s="6">
        <v>0</v>
      </c>
      <c r="E5" s="6">
        <f>C5+D5</f>
        <v>392.90999999999997</v>
      </c>
      <c r="F5" s="6">
        <f>IF(AND(B5&gt;0,B5&gt;E5),B5-E5,0)</f>
        <v>407.09000000000003</v>
      </c>
      <c r="G5" s="6">
        <f>IF(AND(B5&gt;0,B5&lt;E5),B5-E5,0)</f>
        <v>0</v>
      </c>
      <c r="H5" s="6">
        <f>IF(AND(B5=0,B5&lt;E5),E5-B5,0)</f>
        <v>0</v>
      </c>
    </row>
    <row r="6" spans="1:12" ht="18" customHeight="1" x14ac:dyDescent="0.3">
      <c r="A6" s="7" t="s">
        <v>10</v>
      </c>
      <c r="B6" s="8">
        <f t="shared" ref="B6:H6" si="0">SUM(B5)</f>
        <v>800</v>
      </c>
      <c r="C6" s="8">
        <f t="shared" si="0"/>
        <v>392.90999999999997</v>
      </c>
      <c r="D6" s="8">
        <f t="shared" si="0"/>
        <v>0</v>
      </c>
      <c r="E6" s="8">
        <f t="shared" si="0"/>
        <v>392.90999999999997</v>
      </c>
      <c r="F6" s="8">
        <f t="shared" si="0"/>
        <v>407.09000000000003</v>
      </c>
      <c r="G6" s="8">
        <f t="shared" si="0"/>
        <v>0</v>
      </c>
      <c r="H6" s="8">
        <f t="shared" si="0"/>
        <v>0</v>
      </c>
    </row>
    <row r="7" spans="1:12" ht="14.25" customHeight="1" x14ac:dyDescent="0.3">
      <c r="B7" s="9"/>
      <c r="C7" s="9"/>
      <c r="D7" s="9"/>
      <c r="E7" s="9"/>
      <c r="F7" s="9"/>
      <c r="G7" s="9"/>
      <c r="H7" s="9"/>
    </row>
    <row r="8" spans="1:12" ht="18" customHeight="1" x14ac:dyDescent="0.3">
      <c r="A8" s="68" t="s">
        <v>11</v>
      </c>
      <c r="B8" s="66"/>
      <c r="C8" s="66"/>
      <c r="D8" s="66"/>
      <c r="E8" s="66"/>
      <c r="F8" s="66"/>
      <c r="G8" s="66"/>
      <c r="H8" s="67"/>
    </row>
    <row r="9" spans="1:12" ht="18" customHeight="1" x14ac:dyDescent="0.3">
      <c r="A9" s="2" t="s">
        <v>12</v>
      </c>
      <c r="B9" s="6">
        <v>8500</v>
      </c>
      <c r="C9" s="6">
        <f>14725.75+128.13</f>
        <v>14853.88</v>
      </c>
      <c r="D9" s="6">
        <v>0</v>
      </c>
      <c r="E9" s="6">
        <f t="shared" ref="E9:E11" si="1">C9+D9</f>
        <v>14853.88</v>
      </c>
      <c r="F9" s="6">
        <f t="shared" ref="F9:F11" si="2">IF(AND(B9&gt;0,B9&gt;E9),B9-E9,0)</f>
        <v>0</v>
      </c>
      <c r="G9" s="6">
        <f t="shared" ref="G9:G11" si="3">IF(AND(B9&gt;0,B9&lt;E9),B9-E9,0)</f>
        <v>-6353.8799999999992</v>
      </c>
      <c r="H9" s="6">
        <f>IF(AND(B9=0,B9&lt;E9),E9-B9,0)</f>
        <v>0</v>
      </c>
    </row>
    <row r="10" spans="1:12" ht="18" customHeight="1" x14ac:dyDescent="0.3">
      <c r="A10" s="10" t="s">
        <v>13</v>
      </c>
      <c r="B10" s="11">
        <v>11250</v>
      </c>
      <c r="C10" s="11"/>
      <c r="D10" s="11">
        <v>0</v>
      </c>
      <c r="E10" s="11">
        <f t="shared" si="1"/>
        <v>0</v>
      </c>
      <c r="F10" s="11">
        <f t="shared" si="2"/>
        <v>11250</v>
      </c>
      <c r="G10" s="11">
        <f t="shared" si="3"/>
        <v>0</v>
      </c>
      <c r="H10" s="11">
        <v>0</v>
      </c>
      <c r="L10" s="12"/>
    </row>
    <row r="11" spans="1:12" ht="18" customHeight="1" x14ac:dyDescent="0.3">
      <c r="A11" s="2" t="s">
        <v>14</v>
      </c>
      <c r="B11" s="6">
        <v>40</v>
      </c>
      <c r="C11" s="6"/>
      <c r="D11" s="6">
        <v>0</v>
      </c>
      <c r="E11" s="6">
        <f t="shared" si="1"/>
        <v>0</v>
      </c>
      <c r="F11" s="6">
        <f t="shared" si="2"/>
        <v>40</v>
      </c>
      <c r="G11" s="6">
        <f t="shared" si="3"/>
        <v>0</v>
      </c>
      <c r="H11" s="6">
        <f>IF(AND(B11=0,B11&lt;E11),E11-B11,0)</f>
        <v>0</v>
      </c>
    </row>
    <row r="12" spans="1:12" ht="18" customHeight="1" x14ac:dyDescent="0.3">
      <c r="A12" s="7" t="s">
        <v>15</v>
      </c>
      <c r="B12" s="8">
        <f t="shared" ref="B12:H12" si="4">SUM(B9:B11)</f>
        <v>19790</v>
      </c>
      <c r="C12" s="8">
        <f t="shared" si="4"/>
        <v>14853.88</v>
      </c>
      <c r="D12" s="8">
        <f t="shared" si="4"/>
        <v>0</v>
      </c>
      <c r="E12" s="8">
        <f t="shared" si="4"/>
        <v>14853.88</v>
      </c>
      <c r="F12" s="8">
        <f t="shared" si="4"/>
        <v>11290</v>
      </c>
      <c r="G12" s="8">
        <f t="shared" si="4"/>
        <v>-6353.8799999999992</v>
      </c>
      <c r="H12" s="8">
        <f t="shared" si="4"/>
        <v>0</v>
      </c>
    </row>
    <row r="13" spans="1:12" ht="14.25" customHeight="1" x14ac:dyDescent="0.3">
      <c r="B13" s="9"/>
      <c r="C13" s="9"/>
      <c r="D13" s="9"/>
      <c r="E13" s="9"/>
      <c r="F13" s="9"/>
      <c r="G13" s="9"/>
      <c r="H13" s="9"/>
    </row>
    <row r="14" spans="1:12" ht="18" customHeight="1" x14ac:dyDescent="0.3">
      <c r="A14" s="68" t="s">
        <v>16</v>
      </c>
      <c r="B14" s="66"/>
      <c r="C14" s="66"/>
      <c r="D14" s="66"/>
      <c r="E14" s="66"/>
      <c r="F14" s="66"/>
      <c r="G14" s="66"/>
      <c r="H14" s="67"/>
    </row>
    <row r="15" spans="1:12" ht="18" customHeight="1" x14ac:dyDescent="0.3">
      <c r="A15" s="2" t="s">
        <v>17</v>
      </c>
      <c r="B15" s="6">
        <v>2000</v>
      </c>
      <c r="C15" s="6">
        <v>975</v>
      </c>
      <c r="D15" s="6"/>
      <c r="E15" s="6">
        <f t="shared" ref="E15:E19" si="5">C15+D15</f>
        <v>975</v>
      </c>
      <c r="F15" s="6">
        <f t="shared" ref="F15:F19" si="6">IF(AND(B15&gt;0,B15&gt;E15),B15-E15,0)</f>
        <v>1025</v>
      </c>
      <c r="G15" s="6">
        <f t="shared" ref="G15:G19" si="7">IF(AND(B15&gt;0,B15&lt;E15),B15-E15,0)</f>
        <v>0</v>
      </c>
      <c r="H15" s="6">
        <f t="shared" ref="H15:H19" si="8">IF(AND(B15=0,B15&lt;E15),E15-B15,0)</f>
        <v>0</v>
      </c>
    </row>
    <row r="16" spans="1:12" ht="18" customHeight="1" x14ac:dyDescent="0.3">
      <c r="A16" s="10" t="s">
        <v>18</v>
      </c>
      <c r="B16" s="11">
        <v>6000</v>
      </c>
      <c r="C16" s="11">
        <f>3971.15+892.5</f>
        <v>4863.6499999999996</v>
      </c>
      <c r="D16" s="11">
        <v>817</v>
      </c>
      <c r="E16" s="11">
        <f t="shared" si="5"/>
        <v>5680.65</v>
      </c>
      <c r="F16" s="11">
        <f t="shared" si="6"/>
        <v>319.35000000000036</v>
      </c>
      <c r="G16" s="11">
        <f t="shared" si="7"/>
        <v>0</v>
      </c>
      <c r="H16" s="11">
        <f t="shared" si="8"/>
        <v>0</v>
      </c>
    </row>
    <row r="17" spans="1:8" ht="18" customHeight="1" x14ac:dyDescent="0.3">
      <c r="A17" s="2" t="s">
        <v>19</v>
      </c>
      <c r="B17" s="6">
        <v>4000</v>
      </c>
      <c r="C17" s="6">
        <f>6537.4+352.4</f>
        <v>6889.7999999999993</v>
      </c>
      <c r="D17" s="6">
        <v>130</v>
      </c>
      <c r="E17" s="6">
        <f t="shared" si="5"/>
        <v>7019.7999999999993</v>
      </c>
      <c r="F17" s="6">
        <f t="shared" si="6"/>
        <v>0</v>
      </c>
      <c r="G17" s="6">
        <f t="shared" si="7"/>
        <v>-3019.7999999999993</v>
      </c>
      <c r="H17" s="6">
        <f t="shared" si="8"/>
        <v>0</v>
      </c>
    </row>
    <row r="18" spans="1:8" ht="18" customHeight="1" x14ac:dyDescent="0.3">
      <c r="A18" s="10" t="s">
        <v>20</v>
      </c>
      <c r="B18" s="11">
        <v>6000</v>
      </c>
      <c r="C18" s="11"/>
      <c r="D18" s="11">
        <v>0</v>
      </c>
      <c r="E18" s="11">
        <f t="shared" si="5"/>
        <v>0</v>
      </c>
      <c r="F18" s="11">
        <f t="shared" si="6"/>
        <v>6000</v>
      </c>
      <c r="G18" s="11">
        <f t="shared" si="7"/>
        <v>0</v>
      </c>
      <c r="H18" s="11">
        <f t="shared" si="8"/>
        <v>0</v>
      </c>
    </row>
    <row r="19" spans="1:8" ht="18" customHeight="1" x14ac:dyDescent="0.3">
      <c r="A19" s="13" t="s">
        <v>21</v>
      </c>
      <c r="B19" s="14"/>
      <c r="C19" s="14">
        <v>1800</v>
      </c>
      <c r="D19" s="14"/>
      <c r="E19" s="14">
        <f t="shared" si="5"/>
        <v>1800</v>
      </c>
      <c r="F19" s="14">
        <f t="shared" si="6"/>
        <v>0</v>
      </c>
      <c r="G19" s="14">
        <f t="shared" si="7"/>
        <v>0</v>
      </c>
      <c r="H19" s="14">
        <f t="shared" si="8"/>
        <v>1800</v>
      </c>
    </row>
    <row r="20" spans="1:8" ht="18" customHeight="1" x14ac:dyDescent="0.3">
      <c r="A20" s="7" t="s">
        <v>22</v>
      </c>
      <c r="B20" s="8">
        <f t="shared" ref="B20:H20" si="9">SUM(B15:B19)</f>
        <v>18000</v>
      </c>
      <c r="C20" s="8">
        <f t="shared" si="9"/>
        <v>14528.449999999999</v>
      </c>
      <c r="D20" s="8">
        <f>SUM(D15:D19)</f>
        <v>947</v>
      </c>
      <c r="E20" s="8">
        <f t="shared" si="9"/>
        <v>15475.449999999999</v>
      </c>
      <c r="F20" s="8">
        <f t="shared" si="9"/>
        <v>7344.35</v>
      </c>
      <c r="G20" s="8">
        <f t="shared" si="9"/>
        <v>-3019.7999999999993</v>
      </c>
      <c r="H20" s="8">
        <f t="shared" si="9"/>
        <v>1800</v>
      </c>
    </row>
    <row r="21" spans="1:8" ht="14.25" customHeight="1" x14ac:dyDescent="0.3">
      <c r="B21" s="9"/>
      <c r="C21" s="9"/>
      <c r="D21" s="9"/>
      <c r="E21" s="9"/>
      <c r="F21" s="9"/>
      <c r="G21" s="9"/>
      <c r="H21" s="9"/>
    </row>
    <row r="22" spans="1:8" ht="18" customHeight="1" x14ac:dyDescent="0.3">
      <c r="A22" s="68" t="s">
        <v>23</v>
      </c>
      <c r="B22" s="66"/>
      <c r="C22" s="66"/>
      <c r="D22" s="66"/>
      <c r="E22" s="66"/>
      <c r="F22" s="66"/>
      <c r="G22" s="66"/>
      <c r="H22" s="67"/>
    </row>
    <row r="23" spans="1:8" ht="18" customHeight="1" x14ac:dyDescent="0.3">
      <c r="A23" s="2" t="s">
        <v>24</v>
      </c>
      <c r="B23" s="6">
        <f>45000-1725</f>
        <v>43275</v>
      </c>
      <c r="C23" s="6">
        <v>7625</v>
      </c>
      <c r="D23" s="6">
        <f>26900.55-1725</f>
        <v>25175.55</v>
      </c>
      <c r="E23" s="6">
        <f t="shared" ref="E23:E27" si="10">C23+D23</f>
        <v>32800.550000000003</v>
      </c>
      <c r="F23" s="6">
        <f t="shared" ref="F23:F27" si="11">IF(AND(B23&gt;0,B23&gt;E23),B23-E23,0)</f>
        <v>10474.449999999997</v>
      </c>
      <c r="G23" s="6">
        <f t="shared" ref="G23:G27" si="12">IF(AND(B23&gt;0,B23&lt;E23),B23-E23,0)</f>
        <v>0</v>
      </c>
      <c r="H23" s="6">
        <f t="shared" ref="H23:H27" si="13">IF(AND(B23=0,B23&lt;E23),E23-B23,0)</f>
        <v>0</v>
      </c>
    </row>
    <row r="24" spans="1:8" ht="18" customHeight="1" x14ac:dyDescent="0.3">
      <c r="A24" s="10" t="s">
        <v>320</v>
      </c>
      <c r="B24" s="11">
        <v>1725</v>
      </c>
      <c r="C24" s="11"/>
      <c r="D24" s="11">
        <f>760+490+475</f>
        <v>1725</v>
      </c>
      <c r="E24" s="11">
        <f t="shared" ref="E24" si="14">C24+D24</f>
        <v>1725</v>
      </c>
      <c r="F24" s="11">
        <f t="shared" ref="F24" si="15">IF(AND(B24&gt;0,B24&gt;E24),B24-E24,0)</f>
        <v>0</v>
      </c>
      <c r="G24" s="11">
        <f t="shared" ref="G24" si="16">IF(AND(B24&gt;0,B24&lt;E24),B24-E24,0)</f>
        <v>0</v>
      </c>
      <c r="H24" s="11">
        <f t="shared" ref="H24" si="17">IF(AND(B24=0,B24&lt;E24),E24-B24,0)</f>
        <v>0</v>
      </c>
    </row>
    <row r="25" spans="1:8" ht="18" customHeight="1" x14ac:dyDescent="0.3">
      <c r="A25" s="10" t="s">
        <v>25</v>
      </c>
      <c r="B25" s="11">
        <v>10000</v>
      </c>
      <c r="C25" s="11"/>
      <c r="D25" s="11">
        <v>900</v>
      </c>
      <c r="E25" s="11">
        <f t="shared" si="10"/>
        <v>900</v>
      </c>
      <c r="F25" s="11">
        <f t="shared" si="11"/>
        <v>9100</v>
      </c>
      <c r="G25" s="11">
        <f t="shared" si="12"/>
        <v>0</v>
      </c>
      <c r="H25" s="11">
        <f t="shared" si="13"/>
        <v>0</v>
      </c>
    </row>
    <row r="26" spans="1:8" ht="18" customHeight="1" x14ac:dyDescent="0.3">
      <c r="A26" s="2" t="s">
        <v>26</v>
      </c>
      <c r="B26" s="6">
        <v>7000</v>
      </c>
      <c r="C26" s="6"/>
      <c r="D26" s="6"/>
      <c r="E26" s="6">
        <f t="shared" si="10"/>
        <v>0</v>
      </c>
      <c r="F26" s="6">
        <f t="shared" si="11"/>
        <v>7000</v>
      </c>
      <c r="G26" s="6">
        <f t="shared" si="12"/>
        <v>0</v>
      </c>
      <c r="H26" s="6">
        <f t="shared" si="13"/>
        <v>0</v>
      </c>
    </row>
    <row r="27" spans="1:8" ht="18" customHeight="1" x14ac:dyDescent="0.3">
      <c r="A27" s="13" t="s">
        <v>27</v>
      </c>
      <c r="B27" s="14"/>
      <c r="C27" s="14">
        <v>1732.55</v>
      </c>
      <c r="D27" s="14"/>
      <c r="E27" s="14">
        <f t="shared" si="10"/>
        <v>1732.55</v>
      </c>
      <c r="F27" s="14">
        <f t="shared" si="11"/>
        <v>0</v>
      </c>
      <c r="G27" s="14">
        <f t="shared" si="12"/>
        <v>0</v>
      </c>
      <c r="H27" s="14">
        <f t="shared" si="13"/>
        <v>1732.55</v>
      </c>
    </row>
    <row r="28" spans="1:8" ht="18" customHeight="1" x14ac:dyDescent="0.3">
      <c r="A28" s="7" t="s">
        <v>28</v>
      </c>
      <c r="B28" s="8">
        <f t="shared" ref="B28:H28" si="18">SUM(B23:B27)</f>
        <v>62000</v>
      </c>
      <c r="C28" s="8">
        <f t="shared" si="18"/>
        <v>9357.5499999999993</v>
      </c>
      <c r="D28" s="8">
        <f>SUM(D23:D27)</f>
        <v>27800.55</v>
      </c>
      <c r="E28" s="8">
        <f t="shared" si="18"/>
        <v>37158.100000000006</v>
      </c>
      <c r="F28" s="8">
        <f t="shared" si="18"/>
        <v>26574.449999999997</v>
      </c>
      <c r="G28" s="8">
        <f t="shared" si="18"/>
        <v>0</v>
      </c>
      <c r="H28" s="8">
        <f t="shared" si="18"/>
        <v>1732.55</v>
      </c>
    </row>
    <row r="29" spans="1:8" ht="14.25" customHeight="1" x14ac:dyDescent="0.3">
      <c r="B29" s="9"/>
      <c r="C29" s="9"/>
      <c r="D29" s="9"/>
      <c r="E29" s="9"/>
      <c r="F29" s="9"/>
      <c r="G29" s="9"/>
      <c r="H29" s="9"/>
    </row>
    <row r="30" spans="1:8" ht="18" customHeight="1" x14ac:dyDescent="0.3">
      <c r="A30" s="68" t="s">
        <v>29</v>
      </c>
      <c r="B30" s="66"/>
      <c r="C30" s="66"/>
      <c r="D30" s="66"/>
      <c r="E30" s="66"/>
      <c r="F30" s="66"/>
      <c r="G30" s="66"/>
      <c r="H30" s="67"/>
    </row>
    <row r="31" spans="1:8" ht="18" customHeight="1" x14ac:dyDescent="0.3">
      <c r="A31" s="2" t="s">
        <v>30</v>
      </c>
      <c r="B31" s="6">
        <v>8422.7199999999993</v>
      </c>
      <c r="C31" s="6">
        <v>8280.42</v>
      </c>
      <c r="D31" s="6">
        <v>130.38</v>
      </c>
      <c r="E31" s="6">
        <f t="shared" ref="E31:E42" si="19">C31+D31</f>
        <v>8410.7999999999993</v>
      </c>
      <c r="F31" s="6">
        <f t="shared" ref="F31:F42" si="20">IF(AND(B31&gt;0,B31&gt;E31),B31-E31,0)</f>
        <v>11.920000000000073</v>
      </c>
      <c r="G31" s="6">
        <f t="shared" ref="G31:G42" si="21">IF(AND(B31&gt;0,B31&lt;E31),B31-E31,0)</f>
        <v>0</v>
      </c>
      <c r="H31" s="6">
        <f t="shared" ref="H31:H42" si="22">IF(AND(B31=0,B31&lt;E31),E31-B31,0)</f>
        <v>0</v>
      </c>
    </row>
    <row r="32" spans="1:8" ht="18" customHeight="1" x14ac:dyDescent="0.3">
      <c r="A32" s="10" t="s">
        <v>31</v>
      </c>
      <c r="B32" s="11">
        <v>17635</v>
      </c>
      <c r="C32" s="11">
        <v>17635</v>
      </c>
      <c r="D32" s="11"/>
      <c r="E32" s="11">
        <f t="shared" si="19"/>
        <v>17635</v>
      </c>
      <c r="F32" s="11">
        <f t="shared" si="20"/>
        <v>0</v>
      </c>
      <c r="G32" s="11">
        <f t="shared" si="21"/>
        <v>0</v>
      </c>
      <c r="H32" s="11">
        <f t="shared" si="22"/>
        <v>0</v>
      </c>
    </row>
    <row r="33" spans="1:8" ht="18" customHeight="1" x14ac:dyDescent="0.3">
      <c r="A33" s="15" t="s">
        <v>220</v>
      </c>
      <c r="B33" s="14"/>
      <c r="C33" s="14">
        <v>11431.25</v>
      </c>
      <c r="D33" s="14"/>
      <c r="E33" s="14">
        <f t="shared" si="19"/>
        <v>11431.25</v>
      </c>
      <c r="F33" s="14">
        <f t="shared" si="20"/>
        <v>0</v>
      </c>
      <c r="G33" s="14">
        <f t="shared" si="21"/>
        <v>0</v>
      </c>
      <c r="H33" s="14">
        <f t="shared" si="22"/>
        <v>11431.25</v>
      </c>
    </row>
    <row r="34" spans="1:8" ht="18" customHeight="1" x14ac:dyDescent="0.3">
      <c r="A34" s="2" t="s">
        <v>32</v>
      </c>
      <c r="B34" s="6">
        <v>14800</v>
      </c>
      <c r="C34" s="6">
        <v>13806.21</v>
      </c>
      <c r="D34" s="6"/>
      <c r="E34" s="6">
        <f t="shared" si="19"/>
        <v>13806.21</v>
      </c>
      <c r="F34" s="6">
        <f t="shared" si="20"/>
        <v>993.79000000000087</v>
      </c>
      <c r="G34" s="6">
        <f t="shared" si="21"/>
        <v>0</v>
      </c>
      <c r="H34" s="6">
        <f t="shared" si="22"/>
        <v>0</v>
      </c>
    </row>
    <row r="35" spans="1:8" ht="18" customHeight="1" x14ac:dyDescent="0.3">
      <c r="A35" s="10" t="s">
        <v>33</v>
      </c>
      <c r="B35" s="11">
        <v>1200</v>
      </c>
      <c r="C35" s="11"/>
      <c r="D35" s="11">
        <v>806.3</v>
      </c>
      <c r="E35" s="11">
        <f t="shared" si="19"/>
        <v>806.3</v>
      </c>
      <c r="F35" s="11">
        <f t="shared" si="20"/>
        <v>393.70000000000005</v>
      </c>
      <c r="G35" s="11">
        <f t="shared" si="21"/>
        <v>0</v>
      </c>
      <c r="H35" s="11">
        <f t="shared" si="22"/>
        <v>0</v>
      </c>
    </row>
    <row r="36" spans="1:8" ht="18" customHeight="1" x14ac:dyDescent="0.3">
      <c r="A36" s="2" t="s">
        <v>34</v>
      </c>
      <c r="B36" s="6">
        <v>405.41</v>
      </c>
      <c r="C36" s="6"/>
      <c r="D36" s="6"/>
      <c r="E36" s="6">
        <f t="shared" si="19"/>
        <v>0</v>
      </c>
      <c r="F36" s="6">
        <f t="shared" si="20"/>
        <v>405.41</v>
      </c>
      <c r="G36" s="6">
        <f t="shared" si="21"/>
        <v>0</v>
      </c>
      <c r="H36" s="6">
        <f t="shared" si="22"/>
        <v>0</v>
      </c>
    </row>
    <row r="37" spans="1:8" ht="18" customHeight="1" x14ac:dyDescent="0.3">
      <c r="A37" s="10" t="s">
        <v>35</v>
      </c>
      <c r="B37" s="11">
        <v>3600</v>
      </c>
      <c r="C37" s="11"/>
      <c r="D37" s="11"/>
      <c r="E37" s="11">
        <f t="shared" si="19"/>
        <v>0</v>
      </c>
      <c r="F37" s="11">
        <f t="shared" si="20"/>
        <v>3600</v>
      </c>
      <c r="G37" s="11">
        <f t="shared" si="21"/>
        <v>0</v>
      </c>
      <c r="H37" s="11">
        <f t="shared" si="22"/>
        <v>0</v>
      </c>
    </row>
    <row r="38" spans="1:8" ht="18" customHeight="1" x14ac:dyDescent="0.3">
      <c r="A38" s="2" t="s">
        <v>36</v>
      </c>
      <c r="B38" s="6">
        <v>3200</v>
      </c>
      <c r="C38" s="6"/>
      <c r="D38" s="6">
        <v>2243.79</v>
      </c>
      <c r="E38" s="6">
        <f t="shared" si="19"/>
        <v>2243.79</v>
      </c>
      <c r="F38" s="6">
        <f t="shared" si="20"/>
        <v>956.21</v>
      </c>
      <c r="G38" s="6">
        <f t="shared" si="21"/>
        <v>0</v>
      </c>
      <c r="H38" s="6">
        <f t="shared" si="22"/>
        <v>0</v>
      </c>
    </row>
    <row r="39" spans="1:8" ht="18" customHeight="1" x14ac:dyDescent="0.3">
      <c r="A39" s="10" t="s">
        <v>37</v>
      </c>
      <c r="B39" s="11">
        <v>4887</v>
      </c>
      <c r="C39" s="11"/>
      <c r="D39" s="11">
        <v>1440</v>
      </c>
      <c r="E39" s="11">
        <f t="shared" si="19"/>
        <v>1440</v>
      </c>
      <c r="F39" s="11">
        <f t="shared" si="20"/>
        <v>3447</v>
      </c>
      <c r="G39" s="11">
        <f t="shared" si="21"/>
        <v>0</v>
      </c>
      <c r="H39" s="11">
        <f t="shared" si="22"/>
        <v>0</v>
      </c>
    </row>
    <row r="40" spans="1:8" ht="18" customHeight="1" x14ac:dyDescent="0.3">
      <c r="A40" s="2" t="s">
        <v>38</v>
      </c>
      <c r="B40" s="6">
        <v>4500</v>
      </c>
      <c r="C40" s="6">
        <v>3232.88</v>
      </c>
      <c r="D40" s="6"/>
      <c r="E40" s="6">
        <f t="shared" si="19"/>
        <v>3232.88</v>
      </c>
      <c r="F40" s="6">
        <f t="shared" si="20"/>
        <v>1267.1199999999999</v>
      </c>
      <c r="G40" s="6">
        <f t="shared" si="21"/>
        <v>0</v>
      </c>
      <c r="H40" s="6">
        <f t="shared" si="22"/>
        <v>0</v>
      </c>
    </row>
    <row r="41" spans="1:8" ht="18" customHeight="1" x14ac:dyDescent="0.3">
      <c r="A41" s="10" t="s">
        <v>39</v>
      </c>
      <c r="B41" s="11">
        <v>7500</v>
      </c>
      <c r="C41" s="11">
        <v>2735.6</v>
      </c>
      <c r="D41" s="11"/>
      <c r="E41" s="11">
        <f t="shared" si="19"/>
        <v>2735.6</v>
      </c>
      <c r="F41" s="11">
        <f t="shared" si="20"/>
        <v>4764.3999999999996</v>
      </c>
      <c r="G41" s="11">
        <f t="shared" si="21"/>
        <v>0</v>
      </c>
      <c r="H41" s="11">
        <f t="shared" si="22"/>
        <v>0</v>
      </c>
    </row>
    <row r="42" spans="1:8" ht="18" customHeight="1" x14ac:dyDescent="0.3">
      <c r="A42" s="2" t="s">
        <v>26</v>
      </c>
      <c r="B42" s="6">
        <v>5689.21</v>
      </c>
      <c r="C42" s="6"/>
      <c r="D42" s="6"/>
      <c r="E42" s="6">
        <f t="shared" si="19"/>
        <v>0</v>
      </c>
      <c r="F42" s="6">
        <f t="shared" si="20"/>
        <v>5689.21</v>
      </c>
      <c r="G42" s="6">
        <f t="shared" si="21"/>
        <v>0</v>
      </c>
      <c r="H42" s="6">
        <f t="shared" si="22"/>
        <v>0</v>
      </c>
    </row>
    <row r="43" spans="1:8" ht="18" customHeight="1" x14ac:dyDescent="0.3">
      <c r="A43" s="7" t="s">
        <v>40</v>
      </c>
      <c r="B43" s="8">
        <f t="shared" ref="B43:H43" si="23">SUM(B31:B42)</f>
        <v>71839.340000000011</v>
      </c>
      <c r="C43" s="8">
        <f t="shared" si="23"/>
        <v>57121.359999999993</v>
      </c>
      <c r="D43" s="8">
        <f t="shared" si="23"/>
        <v>4620.4699999999993</v>
      </c>
      <c r="E43" s="8">
        <f t="shared" si="23"/>
        <v>61741.83</v>
      </c>
      <c r="F43" s="8">
        <f t="shared" si="23"/>
        <v>21528.760000000002</v>
      </c>
      <c r="G43" s="8">
        <f t="shared" si="23"/>
        <v>0</v>
      </c>
      <c r="H43" s="8">
        <f t="shared" si="23"/>
        <v>11431.25</v>
      </c>
    </row>
    <row r="44" spans="1:8" ht="14.25" customHeight="1" x14ac:dyDescent="0.3">
      <c r="B44" s="9"/>
      <c r="C44" s="9"/>
      <c r="D44" s="9"/>
      <c r="E44" s="9"/>
      <c r="F44" s="9"/>
      <c r="G44" s="9"/>
      <c r="H44" s="9"/>
    </row>
    <row r="45" spans="1:8" ht="18" customHeight="1" x14ac:dyDescent="0.3">
      <c r="A45" s="68" t="s">
        <v>41</v>
      </c>
      <c r="B45" s="66"/>
      <c r="C45" s="66"/>
      <c r="D45" s="66"/>
      <c r="E45" s="66"/>
      <c r="F45" s="66"/>
      <c r="G45" s="66"/>
      <c r="H45" s="67"/>
    </row>
    <row r="46" spans="1:8" ht="18" customHeight="1" x14ac:dyDescent="0.3">
      <c r="A46" s="2" t="s">
        <v>42</v>
      </c>
      <c r="B46" s="6">
        <v>44144.27</v>
      </c>
      <c r="C46" s="6"/>
      <c r="D46" s="6">
        <v>22477.74</v>
      </c>
      <c r="E46" s="6">
        <f t="shared" ref="E46:E52" si="24">C46+D46</f>
        <v>22477.74</v>
      </c>
      <c r="F46" s="6">
        <f t="shared" ref="F46:F52" si="25">IF(AND(B46&gt;0,B46&gt;E46),B46-E46,0)</f>
        <v>21666.529999999995</v>
      </c>
      <c r="G46" s="6">
        <f t="shared" ref="G46:G52" si="26">IF(AND(B46&gt;0,B46&lt;E46),B46-E46,0)</f>
        <v>0</v>
      </c>
      <c r="H46" s="6">
        <f t="shared" ref="H46:H52" si="27">IF(AND(B46=0,B46&lt;E46),E46-B46,0)</f>
        <v>0</v>
      </c>
    </row>
    <row r="47" spans="1:8" ht="18" customHeight="1" x14ac:dyDescent="0.3">
      <c r="A47" s="10" t="s">
        <v>43</v>
      </c>
      <c r="B47" s="11">
        <v>45000</v>
      </c>
      <c r="C47" s="11"/>
      <c r="D47" s="11"/>
      <c r="E47" s="11">
        <f t="shared" si="24"/>
        <v>0</v>
      </c>
      <c r="F47" s="11">
        <f t="shared" si="25"/>
        <v>45000</v>
      </c>
      <c r="G47" s="11">
        <f t="shared" si="26"/>
        <v>0</v>
      </c>
      <c r="H47" s="11">
        <f t="shared" si="27"/>
        <v>0</v>
      </c>
    </row>
    <row r="48" spans="1:8" ht="18" customHeight="1" x14ac:dyDescent="0.3">
      <c r="A48" s="2" t="s">
        <v>44</v>
      </c>
      <c r="B48" s="6">
        <v>20915.150000000001</v>
      </c>
      <c r="C48" s="6"/>
      <c r="D48" s="6"/>
      <c r="E48" s="6">
        <f t="shared" si="24"/>
        <v>0</v>
      </c>
      <c r="F48" s="6">
        <f t="shared" si="25"/>
        <v>20915.150000000001</v>
      </c>
      <c r="G48" s="6">
        <f t="shared" si="26"/>
        <v>0</v>
      </c>
      <c r="H48" s="6">
        <f t="shared" si="27"/>
        <v>0</v>
      </c>
    </row>
    <row r="49" spans="1:8" ht="18" customHeight="1" x14ac:dyDescent="0.3">
      <c r="A49" s="10" t="s">
        <v>45</v>
      </c>
      <c r="B49" s="11">
        <v>4236.2</v>
      </c>
      <c r="C49" s="11">
        <v>637.91</v>
      </c>
      <c r="D49" s="11"/>
      <c r="E49" s="11">
        <f t="shared" si="24"/>
        <v>637.91</v>
      </c>
      <c r="F49" s="11">
        <f t="shared" si="25"/>
        <v>3598.29</v>
      </c>
      <c r="G49" s="11">
        <f t="shared" si="26"/>
        <v>0</v>
      </c>
      <c r="H49" s="11">
        <f t="shared" si="27"/>
        <v>0</v>
      </c>
    </row>
    <row r="50" spans="1:8" ht="18" customHeight="1" x14ac:dyDescent="0.3">
      <c r="A50" s="2" t="s">
        <v>46</v>
      </c>
      <c r="B50" s="6">
        <v>1102.5</v>
      </c>
      <c r="C50" s="6"/>
      <c r="D50" s="6"/>
      <c r="E50" s="6">
        <f t="shared" si="24"/>
        <v>0</v>
      </c>
      <c r="F50" s="6">
        <f t="shared" si="25"/>
        <v>1102.5</v>
      </c>
      <c r="G50" s="6">
        <f t="shared" si="26"/>
        <v>0</v>
      </c>
      <c r="H50" s="6">
        <f t="shared" si="27"/>
        <v>0</v>
      </c>
    </row>
    <row r="51" spans="1:8" ht="18" customHeight="1" x14ac:dyDescent="0.3">
      <c r="A51" s="10" t="s">
        <v>47</v>
      </c>
      <c r="B51" s="11">
        <v>2692.58</v>
      </c>
      <c r="C51" s="11"/>
      <c r="D51" s="11">
        <v>983.06</v>
      </c>
      <c r="E51" s="11">
        <f t="shared" si="24"/>
        <v>983.06</v>
      </c>
      <c r="F51" s="11">
        <f t="shared" si="25"/>
        <v>1709.52</v>
      </c>
      <c r="G51" s="11">
        <f t="shared" si="26"/>
        <v>0</v>
      </c>
      <c r="H51" s="11">
        <f t="shared" si="27"/>
        <v>0</v>
      </c>
    </row>
    <row r="52" spans="1:8" ht="18" customHeight="1" x14ac:dyDescent="0.3">
      <c r="A52" s="2" t="s">
        <v>26</v>
      </c>
      <c r="B52" s="6">
        <v>6657.07</v>
      </c>
      <c r="C52" s="6"/>
      <c r="D52" s="6"/>
      <c r="E52" s="6">
        <f t="shared" si="24"/>
        <v>0</v>
      </c>
      <c r="F52" s="6">
        <f t="shared" si="25"/>
        <v>6657.07</v>
      </c>
      <c r="G52" s="6">
        <f t="shared" si="26"/>
        <v>0</v>
      </c>
      <c r="H52" s="6">
        <f t="shared" si="27"/>
        <v>0</v>
      </c>
    </row>
    <row r="53" spans="1:8" ht="18" customHeight="1" x14ac:dyDescent="0.3">
      <c r="A53" s="7" t="s">
        <v>48</v>
      </c>
      <c r="B53" s="8">
        <f t="shared" ref="B53:H53" si="28">SUM(B46:B52)</f>
        <v>124747.76999999999</v>
      </c>
      <c r="C53" s="8">
        <f t="shared" si="28"/>
        <v>637.91</v>
      </c>
      <c r="D53" s="8">
        <f t="shared" si="28"/>
        <v>23460.800000000003</v>
      </c>
      <c r="E53" s="8">
        <f t="shared" si="28"/>
        <v>24098.710000000003</v>
      </c>
      <c r="F53" s="8">
        <f t="shared" si="28"/>
        <v>100649.06</v>
      </c>
      <c r="G53" s="8">
        <f t="shared" si="28"/>
        <v>0</v>
      </c>
      <c r="H53" s="8">
        <f t="shared" si="28"/>
        <v>0</v>
      </c>
    </row>
    <row r="54" spans="1:8" ht="14.25" customHeight="1" x14ac:dyDescent="0.3">
      <c r="B54" s="9"/>
      <c r="C54" s="9"/>
      <c r="D54" s="9"/>
      <c r="E54" s="9"/>
      <c r="F54" s="9"/>
      <c r="G54" s="9"/>
      <c r="H54" s="9"/>
    </row>
    <row r="55" spans="1:8" ht="18" customHeight="1" x14ac:dyDescent="0.3">
      <c r="A55" s="68" t="s">
        <v>49</v>
      </c>
      <c r="B55" s="66"/>
      <c r="C55" s="66"/>
      <c r="D55" s="66"/>
      <c r="E55" s="66"/>
      <c r="F55" s="66"/>
      <c r="G55" s="66"/>
      <c r="H55" s="67"/>
    </row>
    <row r="56" spans="1:8" ht="18" customHeight="1" x14ac:dyDescent="0.3">
      <c r="A56" s="2" t="s">
        <v>50</v>
      </c>
      <c r="B56" s="6">
        <v>29255.8</v>
      </c>
      <c r="C56" s="6"/>
      <c r="D56" s="6"/>
      <c r="E56" s="6">
        <f t="shared" ref="E56:E57" si="29">C56+D56</f>
        <v>0</v>
      </c>
      <c r="F56" s="6">
        <f t="shared" ref="F56:F57" si="30">IF(AND(B56&gt;0,B56&gt;E56),B56-E56,0)</f>
        <v>29255.8</v>
      </c>
      <c r="G56" s="6">
        <f t="shared" ref="G56:G57" si="31">IF(AND(B56&gt;0,B56&lt;E56),B56-E56,0)</f>
        <v>0</v>
      </c>
      <c r="H56" s="6">
        <f t="shared" ref="H56:H57" si="32">IF(AND(B56=0,B56&lt;E56),E56-B56,0)</f>
        <v>0</v>
      </c>
    </row>
    <row r="57" spans="1:8" ht="18" customHeight="1" x14ac:dyDescent="0.3">
      <c r="A57" s="10" t="s">
        <v>26</v>
      </c>
      <c r="B57" s="11">
        <v>2925.58</v>
      </c>
      <c r="C57" s="11"/>
      <c r="D57" s="11"/>
      <c r="E57" s="11">
        <f t="shared" si="29"/>
        <v>0</v>
      </c>
      <c r="F57" s="11">
        <f t="shared" si="30"/>
        <v>2925.58</v>
      </c>
      <c r="G57" s="11">
        <f t="shared" si="31"/>
        <v>0</v>
      </c>
      <c r="H57" s="11">
        <f t="shared" si="32"/>
        <v>0</v>
      </c>
    </row>
    <row r="58" spans="1:8" ht="18" customHeight="1" x14ac:dyDescent="0.3">
      <c r="A58" s="7" t="s">
        <v>51</v>
      </c>
      <c r="B58" s="8">
        <f t="shared" ref="B58:H58" si="33">SUM(B56:B57)</f>
        <v>32181.379999999997</v>
      </c>
      <c r="C58" s="8">
        <f t="shared" si="33"/>
        <v>0</v>
      </c>
      <c r="D58" s="8">
        <f t="shared" si="33"/>
        <v>0</v>
      </c>
      <c r="E58" s="8">
        <f t="shared" si="33"/>
        <v>0</v>
      </c>
      <c r="F58" s="8">
        <f t="shared" si="33"/>
        <v>32181.379999999997</v>
      </c>
      <c r="G58" s="8">
        <f t="shared" si="33"/>
        <v>0</v>
      </c>
      <c r="H58" s="8">
        <f t="shared" si="33"/>
        <v>0</v>
      </c>
    </row>
    <row r="59" spans="1:8" ht="14.25" customHeight="1" x14ac:dyDescent="0.3">
      <c r="B59" s="9"/>
      <c r="C59" s="9"/>
      <c r="D59" s="9"/>
      <c r="E59" s="9"/>
      <c r="F59" s="9"/>
      <c r="G59" s="9"/>
      <c r="H59" s="9"/>
    </row>
    <row r="60" spans="1:8" ht="18" customHeight="1" x14ac:dyDescent="0.3">
      <c r="A60" s="68" t="s">
        <v>52</v>
      </c>
      <c r="B60" s="66"/>
      <c r="C60" s="66"/>
      <c r="D60" s="66"/>
      <c r="E60" s="66"/>
      <c r="F60" s="66"/>
      <c r="G60" s="66"/>
      <c r="H60" s="67"/>
    </row>
    <row r="61" spans="1:8" ht="18" customHeight="1" x14ac:dyDescent="0.3">
      <c r="A61" s="2" t="s">
        <v>53</v>
      </c>
      <c r="B61" s="6">
        <v>8444.31</v>
      </c>
      <c r="C61" s="6"/>
      <c r="D61" s="6"/>
      <c r="E61" s="6">
        <f t="shared" ref="E61:E63" si="34">C61+D61</f>
        <v>0</v>
      </c>
      <c r="F61" s="6">
        <f t="shared" ref="F61:F63" si="35">IF(AND(B61&gt;0,B61&gt;E61),B61-E61,0)</f>
        <v>8444.31</v>
      </c>
      <c r="G61" s="6">
        <f t="shared" ref="G61:G63" si="36">IF(AND(B61&gt;0,B61&lt;E61),B61-E61,0)</f>
        <v>0</v>
      </c>
      <c r="H61" s="6">
        <f t="shared" ref="H61:H63" si="37">IF(AND(B61=0,B61&lt;E61),E61-B61,0)</f>
        <v>0</v>
      </c>
    </row>
    <row r="62" spans="1:8" ht="18" customHeight="1" x14ac:dyDescent="0.3">
      <c r="A62" s="10" t="s">
        <v>54</v>
      </c>
      <c r="B62" s="11">
        <v>13404.2</v>
      </c>
      <c r="C62" s="11"/>
      <c r="D62" s="11"/>
      <c r="E62" s="11">
        <f t="shared" si="34"/>
        <v>0</v>
      </c>
      <c r="F62" s="11">
        <f t="shared" si="35"/>
        <v>13404.2</v>
      </c>
      <c r="G62" s="11">
        <f t="shared" si="36"/>
        <v>0</v>
      </c>
      <c r="H62" s="11">
        <f t="shared" si="37"/>
        <v>0</v>
      </c>
    </row>
    <row r="63" spans="1:8" ht="18" customHeight="1" x14ac:dyDescent="0.3">
      <c r="A63" s="2" t="s">
        <v>26</v>
      </c>
      <c r="B63" s="6">
        <v>2184.85</v>
      </c>
      <c r="C63" s="6"/>
      <c r="D63" s="6"/>
      <c r="E63" s="6">
        <f t="shared" si="34"/>
        <v>0</v>
      </c>
      <c r="F63" s="6">
        <f t="shared" si="35"/>
        <v>2184.85</v>
      </c>
      <c r="G63" s="6">
        <f t="shared" si="36"/>
        <v>0</v>
      </c>
      <c r="H63" s="6">
        <f t="shared" si="37"/>
        <v>0</v>
      </c>
    </row>
    <row r="64" spans="1:8" ht="18" customHeight="1" x14ac:dyDescent="0.3">
      <c r="A64" s="7" t="s">
        <v>55</v>
      </c>
      <c r="B64" s="8">
        <f t="shared" ref="B64:H64" si="38">SUM(B61:B63)</f>
        <v>24033.360000000001</v>
      </c>
      <c r="C64" s="8">
        <f t="shared" si="38"/>
        <v>0</v>
      </c>
      <c r="D64" s="8">
        <f t="shared" si="38"/>
        <v>0</v>
      </c>
      <c r="E64" s="8">
        <f t="shared" si="38"/>
        <v>0</v>
      </c>
      <c r="F64" s="8">
        <f t="shared" si="38"/>
        <v>24033.360000000001</v>
      </c>
      <c r="G64" s="8">
        <f t="shared" si="38"/>
        <v>0</v>
      </c>
      <c r="H64" s="8">
        <f t="shared" si="38"/>
        <v>0</v>
      </c>
    </row>
    <row r="65" spans="1:8" ht="14.25" customHeight="1" x14ac:dyDescent="0.3">
      <c r="B65" s="9"/>
      <c r="C65" s="9"/>
      <c r="D65" s="9"/>
      <c r="E65" s="9"/>
      <c r="F65" s="9"/>
      <c r="G65" s="9"/>
      <c r="H65" s="9"/>
    </row>
    <row r="66" spans="1:8" ht="18" customHeight="1" x14ac:dyDescent="0.3">
      <c r="A66" s="68" t="s">
        <v>56</v>
      </c>
      <c r="B66" s="66"/>
      <c r="C66" s="66"/>
      <c r="D66" s="66"/>
      <c r="E66" s="66"/>
      <c r="F66" s="66"/>
      <c r="G66" s="66"/>
      <c r="H66" s="67"/>
    </row>
    <row r="67" spans="1:8" ht="18" customHeight="1" x14ac:dyDescent="0.3">
      <c r="A67" s="2" t="s">
        <v>57</v>
      </c>
      <c r="B67" s="6">
        <v>67865</v>
      </c>
      <c r="C67" s="6"/>
      <c r="D67" s="6"/>
      <c r="E67" s="6">
        <f t="shared" ref="E67:E71" si="39">C67+D67</f>
        <v>0</v>
      </c>
      <c r="F67" s="6">
        <f t="shared" ref="F67:F71" si="40">IF(AND(B67&gt;0,B67&gt;E67),B67-E67,0)</f>
        <v>67865</v>
      </c>
      <c r="G67" s="6">
        <f t="shared" ref="G67:G71" si="41">IF(AND(B67&gt;0,B67&lt;E67),B67-E67,0)</f>
        <v>0</v>
      </c>
      <c r="H67" s="6">
        <f t="shared" ref="H67:H71" si="42">IF(AND(B67=0,B67&lt;E67),E67-B67,0)</f>
        <v>0</v>
      </c>
    </row>
    <row r="68" spans="1:8" ht="18" customHeight="1" x14ac:dyDescent="0.3">
      <c r="A68" s="10" t="s">
        <v>58</v>
      </c>
      <c r="B68" s="11">
        <v>6000</v>
      </c>
      <c r="C68" s="11"/>
      <c r="D68" s="11"/>
      <c r="E68" s="11">
        <f t="shared" si="39"/>
        <v>0</v>
      </c>
      <c r="F68" s="11">
        <f t="shared" si="40"/>
        <v>6000</v>
      </c>
      <c r="G68" s="11">
        <f t="shared" si="41"/>
        <v>0</v>
      </c>
      <c r="H68" s="11">
        <f t="shared" si="42"/>
        <v>0</v>
      </c>
    </row>
    <row r="69" spans="1:8" ht="18" customHeight="1" x14ac:dyDescent="0.3">
      <c r="A69" s="2" t="s">
        <v>59</v>
      </c>
      <c r="B69" s="6">
        <v>26044</v>
      </c>
      <c r="C69" s="6"/>
      <c r="D69" s="6">
        <v>13022</v>
      </c>
      <c r="E69" s="6">
        <f t="shared" si="39"/>
        <v>13022</v>
      </c>
      <c r="F69" s="6">
        <f t="shared" si="40"/>
        <v>13022</v>
      </c>
      <c r="G69" s="6">
        <f t="shared" si="41"/>
        <v>0</v>
      </c>
      <c r="H69" s="6">
        <f t="shared" si="42"/>
        <v>0</v>
      </c>
    </row>
    <row r="70" spans="1:8" ht="18" customHeight="1" x14ac:dyDescent="0.3">
      <c r="A70" s="10" t="s">
        <v>26</v>
      </c>
      <c r="B70" s="11">
        <v>9390.9</v>
      </c>
      <c r="C70" s="11"/>
      <c r="D70" s="11"/>
      <c r="E70" s="11">
        <f t="shared" si="39"/>
        <v>0</v>
      </c>
      <c r="F70" s="11">
        <f t="shared" si="40"/>
        <v>9390.9</v>
      </c>
      <c r="G70" s="11">
        <f t="shared" si="41"/>
        <v>0</v>
      </c>
      <c r="H70" s="11">
        <f t="shared" si="42"/>
        <v>0</v>
      </c>
    </row>
    <row r="71" spans="1:8" ht="26.4" x14ac:dyDescent="0.3">
      <c r="A71" s="15" t="s">
        <v>60</v>
      </c>
      <c r="B71" s="14"/>
      <c r="C71" s="14">
        <v>1864.51</v>
      </c>
      <c r="D71" s="14"/>
      <c r="E71" s="14">
        <f t="shared" si="39"/>
        <v>1864.51</v>
      </c>
      <c r="F71" s="14">
        <f t="shared" si="40"/>
        <v>0</v>
      </c>
      <c r="G71" s="14">
        <f t="shared" si="41"/>
        <v>0</v>
      </c>
      <c r="H71" s="14">
        <f t="shared" si="42"/>
        <v>1864.51</v>
      </c>
    </row>
    <row r="72" spans="1:8" ht="39.6" x14ac:dyDescent="0.3">
      <c r="A72" s="26" t="s">
        <v>319</v>
      </c>
      <c r="B72" s="27"/>
      <c r="C72" s="27"/>
      <c r="D72" s="27">
        <v>6098.78</v>
      </c>
      <c r="E72" s="14">
        <f t="shared" ref="E72" si="43">C72+D72</f>
        <v>6098.78</v>
      </c>
      <c r="F72" s="14">
        <f t="shared" ref="F72" si="44">IF(AND(B72&gt;0,B72&gt;E72),B72-E72,0)</f>
        <v>0</v>
      </c>
      <c r="G72" s="14">
        <f t="shared" ref="G72" si="45">IF(AND(B72&gt;0,B72&lt;E72),B72-E72,0)</f>
        <v>0</v>
      </c>
      <c r="H72" s="14">
        <f t="shared" ref="H72" si="46">IF(AND(B72=0,B72&lt;E72),E72-B72,0)</f>
        <v>6098.78</v>
      </c>
    </row>
    <row r="73" spans="1:8" ht="18" customHeight="1" x14ac:dyDescent="0.3">
      <c r="A73" s="7" t="s">
        <v>61</v>
      </c>
      <c r="B73" s="8">
        <f>SUM(B67:B72)</f>
        <v>109299.9</v>
      </c>
      <c r="C73" s="8">
        <f t="shared" ref="C73:H73" si="47">SUM(C67:C72)</f>
        <v>1864.51</v>
      </c>
      <c r="D73" s="8">
        <f t="shared" si="47"/>
        <v>19120.78</v>
      </c>
      <c r="E73" s="8">
        <f t="shared" si="47"/>
        <v>20985.29</v>
      </c>
      <c r="F73" s="8">
        <f t="shared" si="47"/>
        <v>96277.9</v>
      </c>
      <c r="G73" s="8">
        <f t="shared" si="47"/>
        <v>0</v>
      </c>
      <c r="H73" s="8">
        <f t="shared" si="47"/>
        <v>7963.29</v>
      </c>
    </row>
    <row r="74" spans="1:8" ht="14.25" customHeight="1" x14ac:dyDescent="0.3">
      <c r="B74" s="9"/>
      <c r="C74" s="9"/>
      <c r="D74" s="9"/>
      <c r="E74" s="9"/>
      <c r="F74" s="9"/>
      <c r="G74" s="9"/>
      <c r="H74" s="9"/>
    </row>
    <row r="75" spans="1:8" ht="18" customHeight="1" x14ac:dyDescent="0.3">
      <c r="A75" s="68" t="s">
        <v>62</v>
      </c>
      <c r="B75" s="66"/>
      <c r="C75" s="66"/>
      <c r="D75" s="66"/>
      <c r="E75" s="66"/>
      <c r="F75" s="66"/>
      <c r="G75" s="66"/>
      <c r="H75" s="67"/>
    </row>
    <row r="76" spans="1:8" ht="18" customHeight="1" x14ac:dyDescent="0.3">
      <c r="A76" s="2" t="s">
        <v>63</v>
      </c>
      <c r="B76" s="6">
        <v>25000</v>
      </c>
      <c r="C76" s="6"/>
      <c r="D76" s="6">
        <v>2520.41</v>
      </c>
      <c r="E76" s="6">
        <f t="shared" ref="E76:E78" si="48">C76+D76</f>
        <v>2520.41</v>
      </c>
      <c r="F76" s="6">
        <f t="shared" ref="F76:F78" si="49">IF(AND(B76&gt;0,B76&gt;E76),B76-E76,0)</f>
        <v>22479.59</v>
      </c>
      <c r="G76" s="6">
        <f t="shared" ref="G76:G78" si="50">IF(AND(B76&gt;0,B76&lt;E76),B76-E76,0)</f>
        <v>0</v>
      </c>
      <c r="H76" s="6">
        <f t="shared" ref="H76:H78" si="51">IF(AND(B76=0,B76&lt;E76),E76-B76,0)</f>
        <v>0</v>
      </c>
    </row>
    <row r="77" spans="1:8" ht="18" customHeight="1" x14ac:dyDescent="0.3">
      <c r="A77" s="10" t="s">
        <v>64</v>
      </c>
      <c r="B77" s="11">
        <v>20000</v>
      </c>
      <c r="C77" s="11"/>
      <c r="D77" s="11"/>
      <c r="E77" s="11">
        <f t="shared" si="48"/>
        <v>0</v>
      </c>
      <c r="F77" s="11">
        <f t="shared" si="49"/>
        <v>20000</v>
      </c>
      <c r="G77" s="11">
        <f t="shared" si="50"/>
        <v>0</v>
      </c>
      <c r="H77" s="11">
        <f t="shared" si="51"/>
        <v>0</v>
      </c>
    </row>
    <row r="78" spans="1:8" ht="18" customHeight="1" x14ac:dyDescent="0.3">
      <c r="A78" s="2" t="s">
        <v>26</v>
      </c>
      <c r="B78" s="6">
        <v>4000</v>
      </c>
      <c r="C78" s="6"/>
      <c r="D78" s="6"/>
      <c r="E78" s="6">
        <f t="shared" si="48"/>
        <v>0</v>
      </c>
      <c r="F78" s="6">
        <f t="shared" si="49"/>
        <v>4000</v>
      </c>
      <c r="G78" s="6">
        <f t="shared" si="50"/>
        <v>0</v>
      </c>
      <c r="H78" s="6">
        <f t="shared" si="51"/>
        <v>0</v>
      </c>
    </row>
    <row r="79" spans="1:8" ht="18" customHeight="1" x14ac:dyDescent="0.3">
      <c r="A79" s="7" t="s">
        <v>65</v>
      </c>
      <c r="B79" s="8">
        <f t="shared" ref="B79:H79" si="52">SUM(B76:B78)</f>
        <v>49000</v>
      </c>
      <c r="C79" s="8">
        <f t="shared" si="52"/>
        <v>0</v>
      </c>
      <c r="D79" s="8">
        <f t="shared" si="52"/>
        <v>2520.41</v>
      </c>
      <c r="E79" s="8">
        <f t="shared" si="52"/>
        <v>2520.41</v>
      </c>
      <c r="F79" s="8">
        <f t="shared" si="52"/>
        <v>46479.59</v>
      </c>
      <c r="G79" s="8">
        <f t="shared" si="52"/>
        <v>0</v>
      </c>
      <c r="H79" s="8">
        <f t="shared" si="52"/>
        <v>0</v>
      </c>
    </row>
    <row r="80" spans="1:8" ht="14.25" customHeight="1" x14ac:dyDescent="0.3">
      <c r="B80" s="9"/>
      <c r="C80" s="9"/>
      <c r="D80" s="9"/>
      <c r="E80" s="9"/>
      <c r="F80" s="9"/>
      <c r="G80" s="9"/>
      <c r="H80" s="9"/>
    </row>
    <row r="81" spans="1:8" ht="18" customHeight="1" x14ac:dyDescent="0.3">
      <c r="A81" s="68" t="s">
        <v>66</v>
      </c>
      <c r="B81" s="66"/>
      <c r="C81" s="66"/>
      <c r="D81" s="66"/>
      <c r="E81" s="66"/>
      <c r="F81" s="66"/>
      <c r="G81" s="66"/>
      <c r="H81" s="67"/>
    </row>
    <row r="82" spans="1:8" ht="18" customHeight="1" x14ac:dyDescent="0.3">
      <c r="A82" s="2" t="s">
        <v>67</v>
      </c>
      <c r="B82" s="6">
        <v>31444</v>
      </c>
      <c r="C82" s="6"/>
      <c r="D82" s="6"/>
      <c r="E82" s="6">
        <f t="shared" ref="E82:E86" si="53">C82+D82</f>
        <v>0</v>
      </c>
      <c r="F82" s="6">
        <f t="shared" ref="F82:F86" si="54">IF(AND(B82&gt;0,B82&gt;E82),B82-E82,0)</f>
        <v>31444</v>
      </c>
      <c r="G82" s="6">
        <f t="shared" ref="G82:G86" si="55">IF(AND(B82&gt;0,B82&lt;E82),B82-E82,0)</f>
        <v>0</v>
      </c>
      <c r="H82" s="6">
        <f t="shared" ref="H82:H86" si="56">IF(AND(B82=0,B82&lt;E82),E82-B82,0)</f>
        <v>0</v>
      </c>
    </row>
    <row r="83" spans="1:8" ht="18" customHeight="1" x14ac:dyDescent="0.3">
      <c r="A83" s="10" t="s">
        <v>68</v>
      </c>
      <c r="B83" s="11">
        <v>7399</v>
      </c>
      <c r="C83" s="11"/>
      <c r="D83" s="11"/>
      <c r="E83" s="11">
        <f t="shared" si="53"/>
        <v>0</v>
      </c>
      <c r="F83" s="11">
        <f t="shared" si="54"/>
        <v>7399</v>
      </c>
      <c r="G83" s="11">
        <f t="shared" si="55"/>
        <v>0</v>
      </c>
      <c r="H83" s="11">
        <f t="shared" si="56"/>
        <v>0</v>
      </c>
    </row>
    <row r="84" spans="1:8" ht="18" customHeight="1" x14ac:dyDescent="0.3">
      <c r="A84" s="2" t="s">
        <v>69</v>
      </c>
      <c r="B84" s="6">
        <v>550</v>
      </c>
      <c r="C84" s="6"/>
      <c r="D84" s="6"/>
      <c r="E84" s="6">
        <f t="shared" si="53"/>
        <v>0</v>
      </c>
      <c r="F84" s="6">
        <f t="shared" si="54"/>
        <v>550</v>
      </c>
      <c r="G84" s="6">
        <f t="shared" si="55"/>
        <v>0</v>
      </c>
      <c r="H84" s="6">
        <f t="shared" si="56"/>
        <v>0</v>
      </c>
    </row>
    <row r="85" spans="1:8" ht="18" customHeight="1" x14ac:dyDescent="0.3">
      <c r="A85" s="10" t="s">
        <v>70</v>
      </c>
      <c r="B85" s="11">
        <v>550</v>
      </c>
      <c r="C85" s="11"/>
      <c r="D85" s="11"/>
      <c r="E85" s="11">
        <f t="shared" si="53"/>
        <v>0</v>
      </c>
      <c r="F85" s="11">
        <f t="shared" si="54"/>
        <v>550</v>
      </c>
      <c r="G85" s="11">
        <f t="shared" si="55"/>
        <v>0</v>
      </c>
      <c r="H85" s="11">
        <f t="shared" si="56"/>
        <v>0</v>
      </c>
    </row>
    <row r="86" spans="1:8" ht="18" customHeight="1" x14ac:dyDescent="0.3">
      <c r="A86" s="2" t="s">
        <v>26</v>
      </c>
      <c r="B86" s="6">
        <v>3994.3</v>
      </c>
      <c r="C86" s="6"/>
      <c r="D86" s="6"/>
      <c r="E86" s="6">
        <f t="shared" si="53"/>
        <v>0</v>
      </c>
      <c r="F86" s="6">
        <f t="shared" si="54"/>
        <v>3994.3</v>
      </c>
      <c r="G86" s="6">
        <f t="shared" si="55"/>
        <v>0</v>
      </c>
      <c r="H86" s="6">
        <f t="shared" si="56"/>
        <v>0</v>
      </c>
    </row>
    <row r="87" spans="1:8" ht="18" customHeight="1" x14ac:dyDescent="0.3">
      <c r="A87" s="7" t="s">
        <v>71</v>
      </c>
      <c r="B87" s="8">
        <f t="shared" ref="B87:H87" si="57">SUM(B82:B86)</f>
        <v>43937.3</v>
      </c>
      <c r="C87" s="8">
        <f t="shared" si="57"/>
        <v>0</v>
      </c>
      <c r="D87" s="8">
        <f t="shared" si="57"/>
        <v>0</v>
      </c>
      <c r="E87" s="8">
        <f t="shared" si="57"/>
        <v>0</v>
      </c>
      <c r="F87" s="8">
        <f t="shared" si="57"/>
        <v>43937.3</v>
      </c>
      <c r="G87" s="8">
        <f t="shared" si="57"/>
        <v>0</v>
      </c>
      <c r="H87" s="8">
        <f t="shared" si="57"/>
        <v>0</v>
      </c>
    </row>
    <row r="88" spans="1:8" ht="14.25" customHeight="1" x14ac:dyDescent="0.3">
      <c r="B88" s="9"/>
      <c r="C88" s="9"/>
      <c r="D88" s="9"/>
      <c r="E88" s="9"/>
      <c r="F88" s="9"/>
      <c r="G88" s="9"/>
      <c r="H88" s="9"/>
    </row>
    <row r="89" spans="1:8" ht="18" customHeight="1" x14ac:dyDescent="0.3">
      <c r="A89" s="68" t="s">
        <v>72</v>
      </c>
      <c r="B89" s="66"/>
      <c r="C89" s="66"/>
      <c r="D89" s="66"/>
      <c r="E89" s="66"/>
      <c r="F89" s="66"/>
      <c r="G89" s="66"/>
      <c r="H89" s="67"/>
    </row>
    <row r="90" spans="1:8" ht="18" customHeight="1" x14ac:dyDescent="0.3">
      <c r="A90" s="2" t="s">
        <v>73</v>
      </c>
      <c r="B90" s="6">
        <v>63000</v>
      </c>
      <c r="C90" s="6"/>
      <c r="D90" s="6"/>
      <c r="E90" s="6">
        <f t="shared" ref="E90:E92" si="58">C90+D90</f>
        <v>0</v>
      </c>
      <c r="F90" s="6">
        <f t="shared" ref="F90:F92" si="59">IF(AND(B90&gt;0,B90&gt;E90),B90-E90,0)</f>
        <v>63000</v>
      </c>
      <c r="G90" s="6">
        <f t="shared" ref="G90:G92" si="60">IF(AND(B90&gt;0,B90&lt;E90),B90-E90,0)</f>
        <v>0</v>
      </c>
      <c r="H90" s="6">
        <f t="shared" ref="H90:H92" si="61">IF(AND(B90=0,B90&lt;E90),E90-B90,0)</f>
        <v>0</v>
      </c>
    </row>
    <row r="91" spans="1:8" ht="18" customHeight="1" x14ac:dyDescent="0.3">
      <c r="A91" s="10" t="s">
        <v>74</v>
      </c>
      <c r="B91" s="11">
        <v>30000</v>
      </c>
      <c r="C91" s="11"/>
      <c r="D91" s="11"/>
      <c r="E91" s="11">
        <f t="shared" si="58"/>
        <v>0</v>
      </c>
      <c r="F91" s="11">
        <f t="shared" si="59"/>
        <v>30000</v>
      </c>
      <c r="G91" s="11">
        <f t="shared" si="60"/>
        <v>0</v>
      </c>
      <c r="H91" s="11">
        <f t="shared" si="61"/>
        <v>0</v>
      </c>
    </row>
    <row r="92" spans="1:8" ht="18" customHeight="1" x14ac:dyDescent="0.3">
      <c r="A92" s="2" t="s">
        <v>26</v>
      </c>
      <c r="B92" s="6">
        <v>5000</v>
      </c>
      <c r="C92" s="6"/>
      <c r="D92" s="6"/>
      <c r="E92" s="6">
        <f t="shared" si="58"/>
        <v>0</v>
      </c>
      <c r="F92" s="6">
        <f t="shared" si="59"/>
        <v>5000</v>
      </c>
      <c r="G92" s="6">
        <f t="shared" si="60"/>
        <v>0</v>
      </c>
      <c r="H92" s="6">
        <f t="shared" si="61"/>
        <v>0</v>
      </c>
    </row>
    <row r="93" spans="1:8" ht="18" customHeight="1" x14ac:dyDescent="0.3">
      <c r="A93" s="7" t="s">
        <v>75</v>
      </c>
      <c r="B93" s="8">
        <f t="shared" ref="B93:H93" si="62">SUM(B90:B92)</f>
        <v>98000</v>
      </c>
      <c r="C93" s="8">
        <f t="shared" si="62"/>
        <v>0</v>
      </c>
      <c r="D93" s="8">
        <f t="shared" si="62"/>
        <v>0</v>
      </c>
      <c r="E93" s="8">
        <f t="shared" si="62"/>
        <v>0</v>
      </c>
      <c r="F93" s="8">
        <f t="shared" si="62"/>
        <v>98000</v>
      </c>
      <c r="G93" s="8">
        <f t="shared" si="62"/>
        <v>0</v>
      </c>
      <c r="H93" s="8">
        <f t="shared" si="62"/>
        <v>0</v>
      </c>
    </row>
    <row r="94" spans="1:8" ht="14.25" customHeight="1" x14ac:dyDescent="0.3">
      <c r="B94" s="9"/>
      <c r="C94" s="9"/>
      <c r="D94" s="9"/>
      <c r="E94" s="9"/>
      <c r="F94" s="9"/>
      <c r="G94" s="9"/>
      <c r="H94" s="9"/>
    </row>
    <row r="95" spans="1:8" ht="18" customHeight="1" x14ac:dyDescent="0.3">
      <c r="A95" s="68" t="s">
        <v>76</v>
      </c>
      <c r="B95" s="66"/>
      <c r="C95" s="66"/>
      <c r="D95" s="66"/>
      <c r="E95" s="66"/>
      <c r="F95" s="66"/>
      <c r="G95" s="66"/>
      <c r="H95" s="67"/>
    </row>
    <row r="96" spans="1:8" ht="18" customHeight="1" x14ac:dyDescent="0.3">
      <c r="A96" s="2" t="s">
        <v>77</v>
      </c>
      <c r="B96" s="6">
        <v>32327.53</v>
      </c>
      <c r="C96" s="6"/>
      <c r="D96" s="6"/>
      <c r="E96" s="6">
        <f t="shared" ref="E96:E98" si="63">C96+D96</f>
        <v>0</v>
      </c>
      <c r="F96" s="6">
        <f t="shared" ref="F96:F98" si="64">IF(AND(B96&gt;0,B96&gt;E96),B96-E96,0)</f>
        <v>32327.53</v>
      </c>
      <c r="G96" s="6">
        <f t="shared" ref="G96:G98" si="65">IF(AND(B96&gt;0,B96&lt;E96),B96-E96,0)</f>
        <v>0</v>
      </c>
      <c r="H96" s="6">
        <f t="shared" ref="H96:H98" si="66">IF(AND(B96=0,B96&lt;E96),E96-B96,0)</f>
        <v>0</v>
      </c>
    </row>
    <row r="97" spans="1:8" ht="18" customHeight="1" x14ac:dyDescent="0.3">
      <c r="A97" s="10" t="s">
        <v>78</v>
      </c>
      <c r="B97" s="11">
        <v>37713.67</v>
      </c>
      <c r="C97" s="11"/>
      <c r="D97" s="11"/>
      <c r="E97" s="11">
        <f t="shared" si="63"/>
        <v>0</v>
      </c>
      <c r="F97" s="11">
        <f t="shared" si="64"/>
        <v>37713.67</v>
      </c>
      <c r="G97" s="11">
        <f t="shared" si="65"/>
        <v>0</v>
      </c>
      <c r="H97" s="11">
        <f t="shared" si="66"/>
        <v>0</v>
      </c>
    </row>
    <row r="98" spans="1:8" ht="18" customHeight="1" x14ac:dyDescent="0.3">
      <c r="A98" s="2" t="s">
        <v>26</v>
      </c>
      <c r="B98" s="6">
        <v>7004</v>
      </c>
      <c r="C98" s="6"/>
      <c r="D98" s="6"/>
      <c r="E98" s="6">
        <f t="shared" si="63"/>
        <v>0</v>
      </c>
      <c r="F98" s="6">
        <f t="shared" si="64"/>
        <v>7004</v>
      </c>
      <c r="G98" s="6">
        <f t="shared" si="65"/>
        <v>0</v>
      </c>
      <c r="H98" s="6">
        <f t="shared" si="66"/>
        <v>0</v>
      </c>
    </row>
    <row r="99" spans="1:8" ht="18" customHeight="1" x14ac:dyDescent="0.3">
      <c r="A99" s="7" t="s">
        <v>79</v>
      </c>
      <c r="B99" s="8">
        <f t="shared" ref="B99:H99" si="67">SUM(B96:B98)</f>
        <v>77045.2</v>
      </c>
      <c r="C99" s="8">
        <f t="shared" si="67"/>
        <v>0</v>
      </c>
      <c r="D99" s="8">
        <f t="shared" si="67"/>
        <v>0</v>
      </c>
      <c r="E99" s="8">
        <f t="shared" si="67"/>
        <v>0</v>
      </c>
      <c r="F99" s="8">
        <f t="shared" si="67"/>
        <v>77045.2</v>
      </c>
      <c r="G99" s="8">
        <f t="shared" si="67"/>
        <v>0</v>
      </c>
      <c r="H99" s="8">
        <f t="shared" si="67"/>
        <v>0</v>
      </c>
    </row>
    <row r="100" spans="1:8" ht="14.25" customHeight="1" x14ac:dyDescent="0.3">
      <c r="B100" s="9"/>
      <c r="C100" s="9"/>
      <c r="D100" s="9"/>
      <c r="E100" s="9"/>
      <c r="F100" s="9"/>
      <c r="G100" s="9"/>
      <c r="H100" s="9"/>
    </row>
    <row r="101" spans="1:8" ht="18" customHeight="1" x14ac:dyDescent="0.3">
      <c r="A101" s="68" t="s">
        <v>80</v>
      </c>
      <c r="B101" s="66"/>
      <c r="C101" s="66"/>
      <c r="D101" s="66"/>
      <c r="E101" s="66"/>
      <c r="F101" s="66"/>
      <c r="G101" s="66"/>
      <c r="H101" s="67"/>
    </row>
    <row r="102" spans="1:8" ht="18" customHeight="1" x14ac:dyDescent="0.3">
      <c r="A102" s="2" t="s">
        <v>81</v>
      </c>
      <c r="B102" s="6">
        <v>20790</v>
      </c>
      <c r="C102" s="6"/>
      <c r="D102" s="6"/>
      <c r="E102" s="6">
        <f t="shared" ref="E102:E107" si="68">C102+D102</f>
        <v>0</v>
      </c>
      <c r="F102" s="6">
        <f t="shared" ref="F102:F107" si="69">IF(AND(B102&gt;0,B102&gt;E102),B102-E102,0)</f>
        <v>20790</v>
      </c>
      <c r="G102" s="6">
        <f t="shared" ref="G102:G107" si="70">IF(AND(B102&gt;0,B102&lt;E102),B102-E102,0)</f>
        <v>0</v>
      </c>
      <c r="H102" s="6">
        <f t="shared" ref="H102:H107" si="71">IF(AND(B102=0,B102&lt;E102),E102-B102,0)</f>
        <v>0</v>
      </c>
    </row>
    <row r="103" spans="1:8" ht="18" customHeight="1" x14ac:dyDescent="0.3">
      <c r="A103" s="10" t="s">
        <v>82</v>
      </c>
      <c r="B103" s="11">
        <v>35878.129999999997</v>
      </c>
      <c r="C103" s="11"/>
      <c r="D103" s="11"/>
      <c r="E103" s="11">
        <f t="shared" si="68"/>
        <v>0</v>
      </c>
      <c r="F103" s="11">
        <f t="shared" si="69"/>
        <v>35878.129999999997</v>
      </c>
      <c r="G103" s="11">
        <f t="shared" si="70"/>
        <v>0</v>
      </c>
      <c r="H103" s="11">
        <f t="shared" si="71"/>
        <v>0</v>
      </c>
    </row>
    <row r="104" spans="1:8" ht="18" customHeight="1" x14ac:dyDescent="0.3">
      <c r="A104" s="2" t="s">
        <v>83</v>
      </c>
      <c r="B104" s="6">
        <v>5800</v>
      </c>
      <c r="C104" s="6"/>
      <c r="D104" s="6"/>
      <c r="E104" s="6">
        <f t="shared" si="68"/>
        <v>0</v>
      </c>
      <c r="F104" s="6">
        <f t="shared" si="69"/>
        <v>5800</v>
      </c>
      <c r="G104" s="6">
        <f t="shared" si="70"/>
        <v>0</v>
      </c>
      <c r="H104" s="6">
        <f t="shared" si="71"/>
        <v>0</v>
      </c>
    </row>
    <row r="105" spans="1:8" ht="18" customHeight="1" x14ac:dyDescent="0.3">
      <c r="A105" s="10" t="s">
        <v>84</v>
      </c>
      <c r="B105" s="11">
        <v>3948</v>
      </c>
      <c r="C105" s="11"/>
      <c r="D105" s="11"/>
      <c r="E105" s="11">
        <f t="shared" si="68"/>
        <v>0</v>
      </c>
      <c r="F105" s="11">
        <f t="shared" si="69"/>
        <v>3948</v>
      </c>
      <c r="G105" s="11">
        <f t="shared" si="70"/>
        <v>0</v>
      </c>
      <c r="H105" s="11">
        <f t="shared" si="71"/>
        <v>0</v>
      </c>
    </row>
    <row r="106" spans="1:8" ht="18" customHeight="1" x14ac:dyDescent="0.3">
      <c r="A106" s="2" t="s">
        <v>85</v>
      </c>
      <c r="B106" s="6">
        <v>5370</v>
      </c>
      <c r="C106" s="6"/>
      <c r="D106" s="6"/>
      <c r="E106" s="6">
        <f t="shared" si="68"/>
        <v>0</v>
      </c>
      <c r="F106" s="6">
        <f t="shared" si="69"/>
        <v>5370</v>
      </c>
      <c r="G106" s="6">
        <f t="shared" si="70"/>
        <v>0</v>
      </c>
      <c r="H106" s="6">
        <f t="shared" si="71"/>
        <v>0</v>
      </c>
    </row>
    <row r="107" spans="1:8" ht="18" customHeight="1" x14ac:dyDescent="0.3">
      <c r="A107" s="10" t="s">
        <v>26</v>
      </c>
      <c r="B107" s="11">
        <v>5381.71</v>
      </c>
      <c r="C107" s="11"/>
      <c r="D107" s="11"/>
      <c r="E107" s="11">
        <f t="shared" si="68"/>
        <v>0</v>
      </c>
      <c r="F107" s="11">
        <f t="shared" si="69"/>
        <v>5381.71</v>
      </c>
      <c r="G107" s="11">
        <f t="shared" si="70"/>
        <v>0</v>
      </c>
      <c r="H107" s="11">
        <f t="shared" si="71"/>
        <v>0</v>
      </c>
    </row>
    <row r="108" spans="1:8" ht="18" customHeight="1" x14ac:dyDescent="0.3">
      <c r="A108" s="7" t="s">
        <v>86</v>
      </c>
      <c r="B108" s="8">
        <f t="shared" ref="B108:H108" si="72">SUM(B102:B107)</f>
        <v>77167.840000000011</v>
      </c>
      <c r="C108" s="8">
        <f t="shared" si="72"/>
        <v>0</v>
      </c>
      <c r="D108" s="8">
        <f t="shared" si="72"/>
        <v>0</v>
      </c>
      <c r="E108" s="8">
        <f t="shared" si="72"/>
        <v>0</v>
      </c>
      <c r="F108" s="8">
        <f t="shared" si="72"/>
        <v>77167.840000000011</v>
      </c>
      <c r="G108" s="8">
        <f t="shared" si="72"/>
        <v>0</v>
      </c>
      <c r="H108" s="8">
        <f t="shared" si="72"/>
        <v>0</v>
      </c>
    </row>
    <row r="109" spans="1:8" ht="14.25" customHeight="1" x14ac:dyDescent="0.3">
      <c r="B109" s="9"/>
      <c r="C109" s="9"/>
      <c r="D109" s="9"/>
      <c r="E109" s="9"/>
      <c r="F109" s="9"/>
      <c r="G109" s="9"/>
      <c r="H109" s="9"/>
    </row>
    <row r="110" spans="1:8" ht="18" customHeight="1" x14ac:dyDescent="0.3">
      <c r="A110" s="68" t="s">
        <v>87</v>
      </c>
      <c r="B110" s="66"/>
      <c r="C110" s="66"/>
      <c r="D110" s="66"/>
      <c r="E110" s="66"/>
      <c r="F110" s="66"/>
      <c r="G110" s="66"/>
      <c r="H110" s="67"/>
    </row>
    <row r="111" spans="1:8" ht="18" customHeight="1" x14ac:dyDescent="0.3">
      <c r="A111" s="2" t="s">
        <v>88</v>
      </c>
      <c r="B111" s="6">
        <v>10400</v>
      </c>
      <c r="C111" s="6"/>
      <c r="D111" s="6"/>
      <c r="E111" s="6">
        <f t="shared" ref="E111:E112" si="73">C111+D111</f>
        <v>0</v>
      </c>
      <c r="F111" s="6">
        <f t="shared" ref="F111:F112" si="74">IF(AND(B111&gt;0,B111&gt;E111),B111-E111,0)</f>
        <v>10400</v>
      </c>
      <c r="G111" s="6">
        <f t="shared" ref="G111:G112" si="75">IF(AND(B111&gt;0,B111&lt;E111),B111-E111,0)</f>
        <v>0</v>
      </c>
      <c r="H111" s="6">
        <f t="shared" ref="H111:H112" si="76">IF(AND(B111=0,B111&lt;E111),E111-B111,0)</f>
        <v>0</v>
      </c>
    </row>
    <row r="112" spans="1:8" ht="18" customHeight="1" x14ac:dyDescent="0.3">
      <c r="A112" s="10" t="s">
        <v>26</v>
      </c>
      <c r="B112" s="11">
        <v>1040</v>
      </c>
      <c r="C112" s="11"/>
      <c r="D112" s="11"/>
      <c r="E112" s="11">
        <f t="shared" si="73"/>
        <v>0</v>
      </c>
      <c r="F112" s="11">
        <f t="shared" si="74"/>
        <v>1040</v>
      </c>
      <c r="G112" s="11">
        <f t="shared" si="75"/>
        <v>0</v>
      </c>
      <c r="H112" s="11">
        <f t="shared" si="76"/>
        <v>0</v>
      </c>
    </row>
    <row r="113" spans="1:8" ht="18" customHeight="1" x14ac:dyDescent="0.3">
      <c r="A113" s="7" t="s">
        <v>89</v>
      </c>
      <c r="B113" s="8">
        <f t="shared" ref="B113:H113" si="77">SUM(B111:B112)</f>
        <v>11440</v>
      </c>
      <c r="C113" s="8">
        <f t="shared" si="77"/>
        <v>0</v>
      </c>
      <c r="D113" s="8">
        <f t="shared" si="77"/>
        <v>0</v>
      </c>
      <c r="E113" s="8">
        <f t="shared" si="77"/>
        <v>0</v>
      </c>
      <c r="F113" s="8">
        <f t="shared" si="77"/>
        <v>11440</v>
      </c>
      <c r="G113" s="8">
        <f t="shared" si="77"/>
        <v>0</v>
      </c>
      <c r="H113" s="8">
        <f t="shared" si="77"/>
        <v>0</v>
      </c>
    </row>
    <row r="114" spans="1:8" ht="14.25" customHeight="1" x14ac:dyDescent="0.3">
      <c r="B114" s="9"/>
      <c r="C114" s="9"/>
      <c r="D114" s="9"/>
      <c r="E114" s="9"/>
      <c r="F114" s="9"/>
      <c r="G114" s="9"/>
      <c r="H114" s="9"/>
    </row>
    <row r="115" spans="1:8" ht="18" customHeight="1" x14ac:dyDescent="0.3">
      <c r="A115" s="68" t="s">
        <v>90</v>
      </c>
      <c r="B115" s="66"/>
      <c r="C115" s="66"/>
      <c r="D115" s="66"/>
      <c r="E115" s="66"/>
      <c r="F115" s="66"/>
      <c r="G115" s="66"/>
      <c r="H115" s="67"/>
    </row>
    <row r="116" spans="1:8" ht="18" customHeight="1" x14ac:dyDescent="0.3">
      <c r="A116" s="2" t="s">
        <v>91</v>
      </c>
      <c r="B116" s="6">
        <v>36980</v>
      </c>
      <c r="C116" s="6"/>
      <c r="D116" s="6"/>
      <c r="E116" s="6">
        <f t="shared" ref="E116:E119" si="78">C116+D116</f>
        <v>0</v>
      </c>
      <c r="F116" s="6">
        <f t="shared" ref="F116:F119" si="79">IF(AND(B116&gt;0,B116&gt;E116),B116-E116,0)</f>
        <v>36980</v>
      </c>
      <c r="G116" s="6">
        <f t="shared" ref="G116:G119" si="80">IF(AND(B116&gt;0,B116&lt;E116),B116-E116,0)</f>
        <v>0</v>
      </c>
      <c r="H116" s="6">
        <f t="shared" ref="H116:H119" si="81">IF(AND(B116=0,B116&lt;E116),E116-B116,0)</f>
        <v>0</v>
      </c>
    </row>
    <row r="117" spans="1:8" ht="18" customHeight="1" x14ac:dyDescent="0.3">
      <c r="A117" s="10" t="s">
        <v>92</v>
      </c>
      <c r="B117" s="11">
        <v>10380</v>
      </c>
      <c r="C117" s="11"/>
      <c r="D117" s="11"/>
      <c r="E117" s="11">
        <f t="shared" si="78"/>
        <v>0</v>
      </c>
      <c r="F117" s="11">
        <f t="shared" si="79"/>
        <v>10380</v>
      </c>
      <c r="G117" s="11">
        <f t="shared" si="80"/>
        <v>0</v>
      </c>
      <c r="H117" s="11">
        <f t="shared" si="81"/>
        <v>0</v>
      </c>
    </row>
    <row r="118" spans="1:8" ht="18" customHeight="1" x14ac:dyDescent="0.3">
      <c r="A118" s="2" t="s">
        <v>93</v>
      </c>
      <c r="B118" s="6">
        <v>6020</v>
      </c>
      <c r="C118" s="6"/>
      <c r="D118" s="6"/>
      <c r="E118" s="6">
        <f t="shared" si="78"/>
        <v>0</v>
      </c>
      <c r="F118" s="6">
        <f t="shared" si="79"/>
        <v>6020</v>
      </c>
      <c r="G118" s="6">
        <f t="shared" si="80"/>
        <v>0</v>
      </c>
      <c r="H118" s="6">
        <f t="shared" si="81"/>
        <v>0</v>
      </c>
    </row>
    <row r="119" spans="1:8" ht="18" customHeight="1" x14ac:dyDescent="0.3">
      <c r="A119" s="10" t="s">
        <v>26</v>
      </c>
      <c r="B119" s="11">
        <v>5338</v>
      </c>
      <c r="C119" s="11"/>
      <c r="D119" s="11"/>
      <c r="E119" s="11">
        <f t="shared" si="78"/>
        <v>0</v>
      </c>
      <c r="F119" s="11">
        <f t="shared" si="79"/>
        <v>5338</v>
      </c>
      <c r="G119" s="11">
        <f t="shared" si="80"/>
        <v>0</v>
      </c>
      <c r="H119" s="11">
        <f t="shared" si="81"/>
        <v>0</v>
      </c>
    </row>
    <row r="120" spans="1:8" ht="18" customHeight="1" x14ac:dyDescent="0.3">
      <c r="A120" s="7" t="s">
        <v>94</v>
      </c>
      <c r="B120" s="8">
        <f t="shared" ref="B120:H120" si="82">SUM(B116:B119)</f>
        <v>58718</v>
      </c>
      <c r="C120" s="8">
        <f t="shared" si="82"/>
        <v>0</v>
      </c>
      <c r="D120" s="8">
        <f t="shared" si="82"/>
        <v>0</v>
      </c>
      <c r="E120" s="8">
        <f t="shared" si="82"/>
        <v>0</v>
      </c>
      <c r="F120" s="8">
        <f t="shared" si="82"/>
        <v>58718</v>
      </c>
      <c r="G120" s="8">
        <f t="shared" si="82"/>
        <v>0</v>
      </c>
      <c r="H120" s="8">
        <f t="shared" si="82"/>
        <v>0</v>
      </c>
    </row>
    <row r="121" spans="1:8" ht="14.25" customHeight="1" x14ac:dyDescent="0.3">
      <c r="B121" s="9"/>
      <c r="C121" s="9"/>
      <c r="D121" s="9"/>
      <c r="E121" s="9"/>
      <c r="F121" s="9"/>
      <c r="G121" s="9"/>
      <c r="H121" s="9"/>
    </row>
    <row r="122" spans="1:8" ht="18" customHeight="1" x14ac:dyDescent="0.3">
      <c r="A122" s="68" t="s">
        <v>95</v>
      </c>
      <c r="B122" s="66"/>
      <c r="C122" s="66"/>
      <c r="D122" s="66"/>
      <c r="E122" s="66"/>
      <c r="F122" s="66"/>
      <c r="G122" s="66"/>
      <c r="H122" s="67"/>
    </row>
    <row r="123" spans="1:8" ht="18" customHeight="1" x14ac:dyDescent="0.3">
      <c r="A123" s="2" t="s">
        <v>96</v>
      </c>
      <c r="B123" s="6">
        <v>18000</v>
      </c>
      <c r="C123" s="6"/>
      <c r="D123" s="6"/>
      <c r="E123" s="6">
        <f t="shared" ref="E123:E132" si="83">C123+D123</f>
        <v>0</v>
      </c>
      <c r="F123" s="6">
        <f t="shared" ref="F123:F132" si="84">IF(AND(B123&gt;0,B123&gt;E123),B123-E123,0)</f>
        <v>18000</v>
      </c>
      <c r="G123" s="6">
        <f t="shared" ref="G123:G132" si="85">IF(AND(B123&gt;0,B123&lt;E123),B123-E123,0)</f>
        <v>0</v>
      </c>
      <c r="H123" s="6">
        <f t="shared" ref="H123:H132" si="86">IF(AND(B123=0,B123&lt;E123),E123-B123,0)</f>
        <v>0</v>
      </c>
    </row>
    <row r="124" spans="1:8" ht="18" customHeight="1" x14ac:dyDescent="0.3">
      <c r="A124" s="10" t="s">
        <v>97</v>
      </c>
      <c r="B124" s="11">
        <v>13413.68</v>
      </c>
      <c r="C124" s="11"/>
      <c r="D124" s="11"/>
      <c r="E124" s="11">
        <f t="shared" si="83"/>
        <v>0</v>
      </c>
      <c r="F124" s="11">
        <f t="shared" si="84"/>
        <v>13413.68</v>
      </c>
      <c r="G124" s="11">
        <f t="shared" si="85"/>
        <v>0</v>
      </c>
      <c r="H124" s="11">
        <f t="shared" si="86"/>
        <v>0</v>
      </c>
    </row>
    <row r="125" spans="1:8" ht="18" customHeight="1" x14ac:dyDescent="0.3">
      <c r="A125" s="2" t="s">
        <v>98</v>
      </c>
      <c r="B125" s="6">
        <v>2400</v>
      </c>
      <c r="C125" s="6"/>
      <c r="D125" s="6"/>
      <c r="E125" s="6">
        <f t="shared" si="83"/>
        <v>0</v>
      </c>
      <c r="F125" s="6">
        <f t="shared" si="84"/>
        <v>2400</v>
      </c>
      <c r="G125" s="6">
        <f t="shared" si="85"/>
        <v>0</v>
      </c>
      <c r="H125" s="6">
        <f t="shared" si="86"/>
        <v>0</v>
      </c>
    </row>
    <row r="126" spans="1:8" ht="18" customHeight="1" x14ac:dyDescent="0.3">
      <c r="A126" s="10" t="s">
        <v>99</v>
      </c>
      <c r="B126" s="11">
        <v>500</v>
      </c>
      <c r="C126" s="11"/>
      <c r="D126" s="11"/>
      <c r="E126" s="11">
        <f t="shared" si="83"/>
        <v>0</v>
      </c>
      <c r="F126" s="11">
        <f t="shared" si="84"/>
        <v>500</v>
      </c>
      <c r="G126" s="11">
        <f t="shared" si="85"/>
        <v>0</v>
      </c>
      <c r="H126" s="11">
        <f t="shared" si="86"/>
        <v>0</v>
      </c>
    </row>
    <row r="127" spans="1:8" ht="18" customHeight="1" x14ac:dyDescent="0.3">
      <c r="A127" s="2" t="s">
        <v>100</v>
      </c>
      <c r="B127" s="6">
        <v>6500</v>
      </c>
      <c r="C127" s="6"/>
      <c r="D127" s="6"/>
      <c r="E127" s="6">
        <f t="shared" si="83"/>
        <v>0</v>
      </c>
      <c r="F127" s="6">
        <f t="shared" si="84"/>
        <v>6500</v>
      </c>
      <c r="G127" s="6">
        <f t="shared" si="85"/>
        <v>0</v>
      </c>
      <c r="H127" s="6">
        <f t="shared" si="86"/>
        <v>0</v>
      </c>
    </row>
    <row r="128" spans="1:8" ht="18" customHeight="1" x14ac:dyDescent="0.3">
      <c r="A128" s="10" t="s">
        <v>101</v>
      </c>
      <c r="B128" s="11">
        <v>1000</v>
      </c>
      <c r="C128" s="11"/>
      <c r="D128" s="11"/>
      <c r="E128" s="11">
        <f t="shared" si="83"/>
        <v>0</v>
      </c>
      <c r="F128" s="11">
        <f t="shared" si="84"/>
        <v>1000</v>
      </c>
      <c r="G128" s="11">
        <f t="shared" si="85"/>
        <v>0</v>
      </c>
      <c r="H128" s="11">
        <f t="shared" si="86"/>
        <v>0</v>
      </c>
    </row>
    <row r="129" spans="1:8" ht="18" customHeight="1" x14ac:dyDescent="0.3">
      <c r="A129" s="2" t="s">
        <v>102</v>
      </c>
      <c r="B129" s="6">
        <v>1200</v>
      </c>
      <c r="C129" s="6"/>
      <c r="D129" s="6"/>
      <c r="E129" s="6">
        <f t="shared" si="83"/>
        <v>0</v>
      </c>
      <c r="F129" s="6">
        <f t="shared" si="84"/>
        <v>1200</v>
      </c>
      <c r="G129" s="6">
        <f t="shared" si="85"/>
        <v>0</v>
      </c>
      <c r="H129" s="6">
        <f t="shared" si="86"/>
        <v>0</v>
      </c>
    </row>
    <row r="130" spans="1:8" ht="18" customHeight="1" x14ac:dyDescent="0.3">
      <c r="A130" s="10" t="s">
        <v>103</v>
      </c>
      <c r="B130" s="11">
        <v>4919.37</v>
      </c>
      <c r="C130" s="11"/>
      <c r="D130" s="11"/>
      <c r="E130" s="11">
        <f t="shared" si="83"/>
        <v>0</v>
      </c>
      <c r="F130" s="11">
        <f t="shared" si="84"/>
        <v>4919.37</v>
      </c>
      <c r="G130" s="11">
        <f t="shared" si="85"/>
        <v>0</v>
      </c>
      <c r="H130" s="11">
        <f t="shared" si="86"/>
        <v>0</v>
      </c>
    </row>
    <row r="131" spans="1:8" ht="18" customHeight="1" x14ac:dyDescent="0.3">
      <c r="A131" s="2" t="s">
        <v>104</v>
      </c>
      <c r="B131" s="6">
        <v>1067.5999999999999</v>
      </c>
      <c r="C131" s="6"/>
      <c r="D131" s="6"/>
      <c r="E131" s="6">
        <f t="shared" si="83"/>
        <v>0</v>
      </c>
      <c r="F131" s="6">
        <f t="shared" si="84"/>
        <v>1067.5999999999999</v>
      </c>
      <c r="G131" s="6">
        <f t="shared" si="85"/>
        <v>0</v>
      </c>
      <c r="H131" s="6">
        <f t="shared" si="86"/>
        <v>0</v>
      </c>
    </row>
    <row r="132" spans="1:8" ht="18" customHeight="1" x14ac:dyDescent="0.3">
      <c r="A132" s="10" t="s">
        <v>26</v>
      </c>
      <c r="B132" s="11">
        <v>3109.95</v>
      </c>
      <c r="C132" s="11"/>
      <c r="D132" s="11"/>
      <c r="E132" s="11">
        <f t="shared" si="83"/>
        <v>0</v>
      </c>
      <c r="F132" s="11">
        <f t="shared" si="84"/>
        <v>3109.95</v>
      </c>
      <c r="G132" s="11">
        <f t="shared" si="85"/>
        <v>0</v>
      </c>
      <c r="H132" s="11">
        <f t="shared" si="86"/>
        <v>0</v>
      </c>
    </row>
    <row r="133" spans="1:8" ht="18" customHeight="1" x14ac:dyDescent="0.3">
      <c r="A133" s="7" t="s">
        <v>105</v>
      </c>
      <c r="B133" s="8">
        <f t="shared" ref="B133:H133" si="87">SUM(B123:B132)</f>
        <v>52110.6</v>
      </c>
      <c r="C133" s="8">
        <f t="shared" si="87"/>
        <v>0</v>
      </c>
      <c r="D133" s="8">
        <f t="shared" si="87"/>
        <v>0</v>
      </c>
      <c r="E133" s="8">
        <f t="shared" si="87"/>
        <v>0</v>
      </c>
      <c r="F133" s="8">
        <f t="shared" si="87"/>
        <v>52110.6</v>
      </c>
      <c r="G133" s="8">
        <f t="shared" si="87"/>
        <v>0</v>
      </c>
      <c r="H133" s="8">
        <f t="shared" si="87"/>
        <v>0</v>
      </c>
    </row>
    <row r="134" spans="1:8" ht="14.25" customHeight="1" x14ac:dyDescent="0.3">
      <c r="B134" s="9"/>
      <c r="C134" s="9"/>
      <c r="D134" s="9"/>
      <c r="E134" s="9"/>
      <c r="F134" s="9"/>
      <c r="G134" s="9"/>
      <c r="H134" s="9"/>
    </row>
    <row r="135" spans="1:8" ht="18" customHeight="1" x14ac:dyDescent="0.3">
      <c r="A135" s="68" t="s">
        <v>106</v>
      </c>
      <c r="B135" s="66"/>
      <c r="C135" s="66"/>
      <c r="D135" s="66"/>
      <c r="E135" s="66"/>
      <c r="F135" s="66"/>
      <c r="G135" s="66"/>
      <c r="H135" s="67"/>
    </row>
    <row r="136" spans="1:8" ht="18" customHeight="1" x14ac:dyDescent="0.3">
      <c r="A136" s="2" t="s">
        <v>107</v>
      </c>
      <c r="B136" s="6">
        <v>7600</v>
      </c>
      <c r="C136" s="6"/>
      <c r="D136" s="6"/>
      <c r="E136" s="6">
        <f t="shared" ref="E136:E143" si="88">C136+D136</f>
        <v>0</v>
      </c>
      <c r="F136" s="6">
        <f t="shared" ref="F136:F143" si="89">IF(AND(B136&gt;0,B136&gt;E136),B136-E136,0)</f>
        <v>7600</v>
      </c>
      <c r="G136" s="6">
        <f t="shared" ref="G136:G143" si="90">IF(AND(B136&gt;0,B136&lt;E136),B136-E136,0)</f>
        <v>0</v>
      </c>
      <c r="H136" s="6">
        <f t="shared" ref="H136:H143" si="91">IF(AND(B136=0,B136&lt;E136),E136-B136,0)</f>
        <v>0</v>
      </c>
    </row>
    <row r="137" spans="1:8" ht="18" customHeight="1" x14ac:dyDescent="0.3">
      <c r="A137" s="10" t="s">
        <v>108</v>
      </c>
      <c r="B137" s="11">
        <v>5700</v>
      </c>
      <c r="C137" s="11"/>
      <c r="D137" s="11"/>
      <c r="E137" s="11">
        <f t="shared" si="88"/>
        <v>0</v>
      </c>
      <c r="F137" s="11">
        <f t="shared" si="89"/>
        <v>5700</v>
      </c>
      <c r="G137" s="11">
        <f t="shared" si="90"/>
        <v>0</v>
      </c>
      <c r="H137" s="11">
        <f t="shared" si="91"/>
        <v>0</v>
      </c>
    </row>
    <row r="138" spans="1:8" ht="18" customHeight="1" x14ac:dyDescent="0.3">
      <c r="A138" s="2" t="s">
        <v>109</v>
      </c>
      <c r="B138" s="6">
        <v>6000</v>
      </c>
      <c r="C138" s="6"/>
      <c r="D138" s="6"/>
      <c r="E138" s="6">
        <f t="shared" si="88"/>
        <v>0</v>
      </c>
      <c r="F138" s="6">
        <f t="shared" si="89"/>
        <v>6000</v>
      </c>
      <c r="G138" s="6">
        <f t="shared" si="90"/>
        <v>0</v>
      </c>
      <c r="H138" s="6">
        <f t="shared" si="91"/>
        <v>0</v>
      </c>
    </row>
    <row r="139" spans="1:8" ht="18" customHeight="1" x14ac:dyDescent="0.3">
      <c r="A139" s="10" t="s">
        <v>110</v>
      </c>
      <c r="B139" s="11">
        <v>500</v>
      </c>
      <c r="C139" s="11"/>
      <c r="D139" s="11"/>
      <c r="E139" s="11">
        <f t="shared" si="88"/>
        <v>0</v>
      </c>
      <c r="F139" s="11">
        <f t="shared" si="89"/>
        <v>500</v>
      </c>
      <c r="G139" s="11">
        <f t="shared" si="90"/>
        <v>0</v>
      </c>
      <c r="H139" s="11">
        <f t="shared" si="91"/>
        <v>0</v>
      </c>
    </row>
    <row r="140" spans="1:8" ht="18" customHeight="1" x14ac:dyDescent="0.3">
      <c r="A140" s="2" t="s">
        <v>111</v>
      </c>
      <c r="B140" s="6">
        <v>4800</v>
      </c>
      <c r="C140" s="6"/>
      <c r="D140" s="6"/>
      <c r="E140" s="6">
        <f t="shared" si="88"/>
        <v>0</v>
      </c>
      <c r="F140" s="6">
        <f t="shared" si="89"/>
        <v>4800</v>
      </c>
      <c r="G140" s="6">
        <f t="shared" si="90"/>
        <v>0</v>
      </c>
      <c r="H140" s="6">
        <f t="shared" si="91"/>
        <v>0</v>
      </c>
    </row>
    <row r="141" spans="1:8" ht="18" customHeight="1" x14ac:dyDescent="0.3">
      <c r="A141" s="10" t="s">
        <v>112</v>
      </c>
      <c r="B141" s="11">
        <v>9450</v>
      </c>
      <c r="C141" s="11"/>
      <c r="D141" s="11"/>
      <c r="E141" s="11">
        <f t="shared" si="88"/>
        <v>0</v>
      </c>
      <c r="F141" s="11">
        <f t="shared" si="89"/>
        <v>9450</v>
      </c>
      <c r="G141" s="11">
        <f t="shared" si="90"/>
        <v>0</v>
      </c>
      <c r="H141" s="11">
        <f t="shared" si="91"/>
        <v>0</v>
      </c>
    </row>
    <row r="142" spans="1:8" ht="18" customHeight="1" x14ac:dyDescent="0.3">
      <c r="A142" s="2" t="s">
        <v>113</v>
      </c>
      <c r="B142" s="6">
        <v>6750</v>
      </c>
      <c r="C142" s="6"/>
      <c r="D142" s="6"/>
      <c r="E142" s="6">
        <f t="shared" si="88"/>
        <v>0</v>
      </c>
      <c r="F142" s="6">
        <f t="shared" si="89"/>
        <v>6750</v>
      </c>
      <c r="G142" s="6">
        <f t="shared" si="90"/>
        <v>0</v>
      </c>
      <c r="H142" s="6">
        <f t="shared" si="91"/>
        <v>0</v>
      </c>
    </row>
    <row r="143" spans="1:8" ht="18" customHeight="1" x14ac:dyDescent="0.3">
      <c r="A143" s="10" t="s">
        <v>26</v>
      </c>
      <c r="B143" s="11">
        <v>1980</v>
      </c>
      <c r="C143" s="11"/>
      <c r="D143" s="11"/>
      <c r="E143" s="11">
        <f t="shared" si="88"/>
        <v>0</v>
      </c>
      <c r="F143" s="11">
        <f t="shared" si="89"/>
        <v>1980</v>
      </c>
      <c r="G143" s="11">
        <f t="shared" si="90"/>
        <v>0</v>
      </c>
      <c r="H143" s="11">
        <f t="shared" si="91"/>
        <v>0</v>
      </c>
    </row>
    <row r="144" spans="1:8" ht="18" customHeight="1" x14ac:dyDescent="0.3">
      <c r="A144" s="7" t="s">
        <v>114</v>
      </c>
      <c r="B144" s="8">
        <f t="shared" ref="B144:H144" si="92">SUM(B136:B143)</f>
        <v>42780</v>
      </c>
      <c r="C144" s="8">
        <f t="shared" si="92"/>
        <v>0</v>
      </c>
      <c r="D144" s="8">
        <f t="shared" si="92"/>
        <v>0</v>
      </c>
      <c r="E144" s="8">
        <f t="shared" si="92"/>
        <v>0</v>
      </c>
      <c r="F144" s="8">
        <f t="shared" si="92"/>
        <v>42780</v>
      </c>
      <c r="G144" s="8">
        <f t="shared" si="92"/>
        <v>0</v>
      </c>
      <c r="H144" s="8">
        <f t="shared" si="92"/>
        <v>0</v>
      </c>
    </row>
    <row r="145" spans="1:8" ht="14.25" customHeight="1" x14ac:dyDescent="0.3">
      <c r="B145" s="9"/>
      <c r="C145" s="9"/>
      <c r="D145" s="9"/>
      <c r="E145" s="9"/>
      <c r="F145" s="9"/>
      <c r="G145" s="9"/>
      <c r="H145" s="9"/>
    </row>
    <row r="146" spans="1:8" ht="18" customHeight="1" x14ac:dyDescent="0.3">
      <c r="A146" s="68" t="s">
        <v>115</v>
      </c>
      <c r="B146" s="66"/>
      <c r="C146" s="66"/>
      <c r="D146" s="66"/>
      <c r="E146" s="66"/>
      <c r="F146" s="66"/>
      <c r="G146" s="66"/>
      <c r="H146" s="67"/>
    </row>
    <row r="147" spans="1:8" ht="18" customHeight="1" x14ac:dyDescent="0.3">
      <c r="A147" s="2" t="s">
        <v>116</v>
      </c>
      <c r="B147" s="6">
        <v>2532</v>
      </c>
      <c r="C147" s="6"/>
      <c r="D147" s="6"/>
      <c r="E147" s="6">
        <f t="shared" ref="E147:E160" si="93">C147+D147</f>
        <v>0</v>
      </c>
      <c r="F147" s="6">
        <f t="shared" ref="F147:F160" si="94">IF(AND(B147&gt;0,B147&gt;E147),B147-E147,0)</f>
        <v>2532</v>
      </c>
      <c r="G147" s="6">
        <f t="shared" ref="G147:G160" si="95">IF(AND(B147&gt;0,B147&lt;E147),B147-E147,0)</f>
        <v>0</v>
      </c>
      <c r="H147" s="6">
        <f t="shared" ref="H147:H160" si="96">IF(AND(B147=0,B147&lt;E147),E147-B147,0)</f>
        <v>0</v>
      </c>
    </row>
    <row r="148" spans="1:8" ht="18" customHeight="1" x14ac:dyDescent="0.3">
      <c r="A148" s="10" t="s">
        <v>117</v>
      </c>
      <c r="B148" s="11">
        <v>2534</v>
      </c>
      <c r="C148" s="11"/>
      <c r="D148" s="11"/>
      <c r="E148" s="11">
        <f t="shared" si="93"/>
        <v>0</v>
      </c>
      <c r="F148" s="11">
        <f t="shared" si="94"/>
        <v>2534</v>
      </c>
      <c r="G148" s="11">
        <f t="shared" si="95"/>
        <v>0</v>
      </c>
      <c r="H148" s="11">
        <f t="shared" si="96"/>
        <v>0</v>
      </c>
    </row>
    <row r="149" spans="1:8" ht="18" customHeight="1" x14ac:dyDescent="0.3">
      <c r="A149" s="2" t="s">
        <v>118</v>
      </c>
      <c r="B149" s="6">
        <v>1000</v>
      </c>
      <c r="C149" s="6"/>
      <c r="D149" s="6"/>
      <c r="E149" s="6">
        <f t="shared" si="93"/>
        <v>0</v>
      </c>
      <c r="F149" s="6">
        <f t="shared" si="94"/>
        <v>1000</v>
      </c>
      <c r="G149" s="6">
        <f t="shared" si="95"/>
        <v>0</v>
      </c>
      <c r="H149" s="6">
        <f t="shared" si="96"/>
        <v>0</v>
      </c>
    </row>
    <row r="150" spans="1:8" ht="18" customHeight="1" x14ac:dyDescent="0.3">
      <c r="A150" s="10" t="s">
        <v>119</v>
      </c>
      <c r="B150" s="11">
        <v>2726.7</v>
      </c>
      <c r="C150" s="11"/>
      <c r="D150" s="11"/>
      <c r="E150" s="11">
        <f t="shared" si="93"/>
        <v>0</v>
      </c>
      <c r="F150" s="11">
        <f t="shared" si="94"/>
        <v>2726.7</v>
      </c>
      <c r="G150" s="11">
        <f t="shared" si="95"/>
        <v>0</v>
      </c>
      <c r="H150" s="11">
        <f t="shared" si="96"/>
        <v>0</v>
      </c>
    </row>
    <row r="151" spans="1:8" ht="18" customHeight="1" x14ac:dyDescent="0.3">
      <c r="A151" s="2" t="s">
        <v>120</v>
      </c>
      <c r="B151" s="6">
        <v>4070</v>
      </c>
      <c r="C151" s="6"/>
      <c r="D151" s="6"/>
      <c r="E151" s="6">
        <f t="shared" si="93"/>
        <v>0</v>
      </c>
      <c r="F151" s="6">
        <f t="shared" si="94"/>
        <v>4070</v>
      </c>
      <c r="G151" s="6">
        <f t="shared" si="95"/>
        <v>0</v>
      </c>
      <c r="H151" s="6">
        <f t="shared" si="96"/>
        <v>0</v>
      </c>
    </row>
    <row r="152" spans="1:8" ht="18" customHeight="1" x14ac:dyDescent="0.3">
      <c r="A152" s="10" t="s">
        <v>121</v>
      </c>
      <c r="B152" s="11">
        <v>400</v>
      </c>
      <c r="C152" s="11"/>
      <c r="D152" s="11"/>
      <c r="E152" s="11">
        <f t="shared" si="93"/>
        <v>0</v>
      </c>
      <c r="F152" s="11">
        <f t="shared" si="94"/>
        <v>400</v>
      </c>
      <c r="G152" s="11">
        <f t="shared" si="95"/>
        <v>0</v>
      </c>
      <c r="H152" s="11">
        <f t="shared" si="96"/>
        <v>0</v>
      </c>
    </row>
    <row r="153" spans="1:8" ht="18" customHeight="1" x14ac:dyDescent="0.3">
      <c r="A153" s="2" t="s">
        <v>122</v>
      </c>
      <c r="B153" s="6">
        <v>1200</v>
      </c>
      <c r="C153" s="6"/>
      <c r="D153" s="6"/>
      <c r="E153" s="6">
        <f t="shared" si="93"/>
        <v>0</v>
      </c>
      <c r="F153" s="6">
        <f t="shared" si="94"/>
        <v>1200</v>
      </c>
      <c r="G153" s="6">
        <f t="shared" si="95"/>
        <v>0</v>
      </c>
      <c r="H153" s="6">
        <f t="shared" si="96"/>
        <v>0</v>
      </c>
    </row>
    <row r="154" spans="1:8" ht="18" customHeight="1" x14ac:dyDescent="0.3">
      <c r="A154" s="10" t="s">
        <v>123</v>
      </c>
      <c r="B154" s="11">
        <v>2495.5</v>
      </c>
      <c r="C154" s="11"/>
      <c r="D154" s="11"/>
      <c r="E154" s="11">
        <f t="shared" si="93"/>
        <v>0</v>
      </c>
      <c r="F154" s="11">
        <f t="shared" si="94"/>
        <v>2495.5</v>
      </c>
      <c r="G154" s="11">
        <f t="shared" si="95"/>
        <v>0</v>
      </c>
      <c r="H154" s="11">
        <f t="shared" si="96"/>
        <v>0</v>
      </c>
    </row>
    <row r="155" spans="1:8" ht="18" customHeight="1" x14ac:dyDescent="0.3">
      <c r="A155" s="2" t="s">
        <v>124</v>
      </c>
      <c r="B155" s="6">
        <v>610.41999999999996</v>
      </c>
      <c r="C155" s="6"/>
      <c r="D155" s="6"/>
      <c r="E155" s="6">
        <f t="shared" si="93"/>
        <v>0</v>
      </c>
      <c r="F155" s="6">
        <f t="shared" si="94"/>
        <v>610.41999999999996</v>
      </c>
      <c r="G155" s="6">
        <f t="shared" si="95"/>
        <v>0</v>
      </c>
      <c r="H155" s="6">
        <f t="shared" si="96"/>
        <v>0</v>
      </c>
    </row>
    <row r="156" spans="1:8" ht="18" customHeight="1" x14ac:dyDescent="0.3">
      <c r="A156" s="10" t="s">
        <v>125</v>
      </c>
      <c r="B156" s="11">
        <v>1000</v>
      </c>
      <c r="C156" s="11"/>
      <c r="D156" s="11"/>
      <c r="E156" s="11">
        <f t="shared" si="93"/>
        <v>0</v>
      </c>
      <c r="F156" s="11">
        <f t="shared" si="94"/>
        <v>1000</v>
      </c>
      <c r="G156" s="11">
        <f t="shared" si="95"/>
        <v>0</v>
      </c>
      <c r="H156" s="11">
        <f t="shared" si="96"/>
        <v>0</v>
      </c>
    </row>
    <row r="157" spans="1:8" ht="18" customHeight="1" x14ac:dyDescent="0.3">
      <c r="A157" s="2" t="s">
        <v>126</v>
      </c>
      <c r="B157" s="6">
        <v>3000</v>
      </c>
      <c r="C157" s="6"/>
      <c r="D157" s="6"/>
      <c r="E157" s="6">
        <f t="shared" si="93"/>
        <v>0</v>
      </c>
      <c r="F157" s="6">
        <f t="shared" si="94"/>
        <v>3000</v>
      </c>
      <c r="G157" s="6">
        <f t="shared" si="95"/>
        <v>0</v>
      </c>
      <c r="H157" s="6">
        <f t="shared" si="96"/>
        <v>0</v>
      </c>
    </row>
    <row r="158" spans="1:8" ht="18" customHeight="1" x14ac:dyDescent="0.3">
      <c r="A158" s="10" t="s">
        <v>127</v>
      </c>
      <c r="B158" s="11">
        <v>5000</v>
      </c>
      <c r="C158" s="11"/>
      <c r="D158" s="11"/>
      <c r="E158" s="11">
        <f t="shared" si="93"/>
        <v>0</v>
      </c>
      <c r="F158" s="11">
        <f t="shared" si="94"/>
        <v>5000</v>
      </c>
      <c r="G158" s="11">
        <f t="shared" si="95"/>
        <v>0</v>
      </c>
      <c r="H158" s="11">
        <f t="shared" si="96"/>
        <v>0</v>
      </c>
    </row>
    <row r="159" spans="1:8" ht="18" customHeight="1" x14ac:dyDescent="0.3">
      <c r="A159" s="2" t="s">
        <v>128</v>
      </c>
      <c r="B159" s="6">
        <v>1200</v>
      </c>
      <c r="C159" s="6"/>
      <c r="D159" s="6"/>
      <c r="E159" s="6">
        <f t="shared" si="93"/>
        <v>0</v>
      </c>
      <c r="F159" s="6">
        <f t="shared" si="94"/>
        <v>1200</v>
      </c>
      <c r="G159" s="6">
        <f t="shared" si="95"/>
        <v>0</v>
      </c>
      <c r="H159" s="6">
        <f t="shared" si="96"/>
        <v>0</v>
      </c>
    </row>
    <row r="160" spans="1:8" ht="18" customHeight="1" x14ac:dyDescent="0.3">
      <c r="A160" s="10" t="s">
        <v>26</v>
      </c>
      <c r="B160" s="11">
        <v>1806.86</v>
      </c>
      <c r="C160" s="11"/>
      <c r="D160" s="11"/>
      <c r="E160" s="11">
        <f t="shared" si="93"/>
        <v>0</v>
      </c>
      <c r="F160" s="11">
        <f t="shared" si="94"/>
        <v>1806.86</v>
      </c>
      <c r="G160" s="11">
        <f t="shared" si="95"/>
        <v>0</v>
      </c>
      <c r="H160" s="11">
        <f t="shared" si="96"/>
        <v>0</v>
      </c>
    </row>
    <row r="161" spans="1:8" ht="18" customHeight="1" x14ac:dyDescent="0.3">
      <c r="A161" s="7" t="s">
        <v>129</v>
      </c>
      <c r="B161" s="8">
        <f t="shared" ref="B161:H161" si="97">SUM(B147:B160)</f>
        <v>29575.48</v>
      </c>
      <c r="C161" s="8">
        <f t="shared" si="97"/>
        <v>0</v>
      </c>
      <c r="D161" s="8">
        <f t="shared" si="97"/>
        <v>0</v>
      </c>
      <c r="E161" s="8">
        <f t="shared" si="97"/>
        <v>0</v>
      </c>
      <c r="F161" s="8">
        <f t="shared" si="97"/>
        <v>29575.48</v>
      </c>
      <c r="G161" s="8">
        <f t="shared" si="97"/>
        <v>0</v>
      </c>
      <c r="H161" s="8">
        <f t="shared" si="97"/>
        <v>0</v>
      </c>
    </row>
    <row r="162" spans="1:8" ht="14.25" customHeight="1" x14ac:dyDescent="0.3">
      <c r="B162" s="9"/>
      <c r="C162" s="9"/>
      <c r="D162" s="9"/>
      <c r="E162" s="9"/>
      <c r="F162" s="9"/>
      <c r="G162" s="9"/>
      <c r="H162" s="9"/>
    </row>
    <row r="163" spans="1:8" ht="18" customHeight="1" x14ac:dyDescent="0.3">
      <c r="A163" s="68" t="s">
        <v>130</v>
      </c>
      <c r="B163" s="66"/>
      <c r="C163" s="66"/>
      <c r="D163" s="66"/>
      <c r="E163" s="66"/>
      <c r="F163" s="66"/>
      <c r="G163" s="66"/>
      <c r="H163" s="67"/>
    </row>
    <row r="164" spans="1:8" ht="18" customHeight="1" x14ac:dyDescent="0.3">
      <c r="A164" s="2" t="s">
        <v>131</v>
      </c>
      <c r="B164" s="6">
        <v>22000</v>
      </c>
      <c r="C164" s="6"/>
      <c r="D164" s="6"/>
      <c r="E164" s="6">
        <f t="shared" ref="E164:E168" si="98">C164+D164</f>
        <v>0</v>
      </c>
      <c r="F164" s="6">
        <f t="shared" ref="F164:F168" si="99">IF(AND(B164&gt;0,B164&gt;E164),B164-E164,0)</f>
        <v>22000</v>
      </c>
      <c r="G164" s="6">
        <f t="shared" ref="G164:G168" si="100">IF(AND(B164&gt;0,B164&lt;E164),B164-E164,0)</f>
        <v>0</v>
      </c>
      <c r="H164" s="6">
        <f t="shared" ref="H164:H168" si="101">IF(AND(B164=0,B164&lt;E164),E164-B164,0)</f>
        <v>0</v>
      </c>
    </row>
    <row r="165" spans="1:8" ht="18" customHeight="1" x14ac:dyDescent="0.3">
      <c r="A165" s="10" t="s">
        <v>132</v>
      </c>
      <c r="B165" s="11">
        <v>8500</v>
      </c>
      <c r="C165" s="11"/>
      <c r="D165" s="11"/>
      <c r="E165" s="11">
        <f t="shared" si="98"/>
        <v>0</v>
      </c>
      <c r="F165" s="11">
        <f t="shared" si="99"/>
        <v>8500</v>
      </c>
      <c r="G165" s="11">
        <f t="shared" si="100"/>
        <v>0</v>
      </c>
      <c r="H165" s="11">
        <f t="shared" si="101"/>
        <v>0</v>
      </c>
    </row>
    <row r="166" spans="1:8" ht="18" customHeight="1" x14ac:dyDescent="0.3">
      <c r="A166" s="2" t="s">
        <v>133</v>
      </c>
      <c r="B166" s="6">
        <v>2500</v>
      </c>
      <c r="C166" s="6"/>
      <c r="D166" s="6"/>
      <c r="E166" s="6">
        <f t="shared" si="98"/>
        <v>0</v>
      </c>
      <c r="F166" s="6">
        <f t="shared" si="99"/>
        <v>2500</v>
      </c>
      <c r="G166" s="6">
        <f t="shared" si="100"/>
        <v>0</v>
      </c>
      <c r="H166" s="6">
        <f t="shared" si="101"/>
        <v>0</v>
      </c>
    </row>
    <row r="167" spans="1:8" ht="18" customHeight="1" x14ac:dyDescent="0.3">
      <c r="A167" s="10" t="s">
        <v>134</v>
      </c>
      <c r="B167" s="11">
        <v>8000</v>
      </c>
      <c r="C167" s="11"/>
      <c r="D167" s="11"/>
      <c r="E167" s="11">
        <f t="shared" si="98"/>
        <v>0</v>
      </c>
      <c r="F167" s="11">
        <f t="shared" si="99"/>
        <v>8000</v>
      </c>
      <c r="G167" s="11">
        <f t="shared" si="100"/>
        <v>0</v>
      </c>
      <c r="H167" s="11">
        <f t="shared" si="101"/>
        <v>0</v>
      </c>
    </row>
    <row r="168" spans="1:8" ht="18" customHeight="1" x14ac:dyDescent="0.3">
      <c r="A168" s="2" t="s">
        <v>26</v>
      </c>
      <c r="B168" s="6">
        <v>4100</v>
      </c>
      <c r="C168" s="6"/>
      <c r="D168" s="6"/>
      <c r="E168" s="6">
        <f t="shared" si="98"/>
        <v>0</v>
      </c>
      <c r="F168" s="6">
        <f t="shared" si="99"/>
        <v>4100</v>
      </c>
      <c r="G168" s="6">
        <f t="shared" si="100"/>
        <v>0</v>
      </c>
      <c r="H168" s="6">
        <f t="shared" si="101"/>
        <v>0</v>
      </c>
    </row>
    <row r="169" spans="1:8" ht="18" customHeight="1" x14ac:dyDescent="0.3">
      <c r="A169" s="7" t="s">
        <v>135</v>
      </c>
      <c r="B169" s="8">
        <f t="shared" ref="B169:H169" si="102">SUM(B164:B168)</f>
        <v>45100</v>
      </c>
      <c r="C169" s="8">
        <f t="shared" si="102"/>
        <v>0</v>
      </c>
      <c r="D169" s="8">
        <f t="shared" si="102"/>
        <v>0</v>
      </c>
      <c r="E169" s="8">
        <f t="shared" si="102"/>
        <v>0</v>
      </c>
      <c r="F169" s="8">
        <f t="shared" si="102"/>
        <v>45100</v>
      </c>
      <c r="G169" s="8">
        <f t="shared" si="102"/>
        <v>0</v>
      </c>
      <c r="H169" s="8">
        <f t="shared" si="102"/>
        <v>0</v>
      </c>
    </row>
    <row r="170" spans="1:8" ht="14.25" customHeight="1" x14ac:dyDescent="0.3">
      <c r="B170" s="9"/>
      <c r="C170" s="9"/>
      <c r="D170" s="9"/>
      <c r="E170" s="9"/>
      <c r="F170" s="9"/>
      <c r="G170" s="9"/>
      <c r="H170" s="9"/>
    </row>
    <row r="171" spans="1:8" ht="18" customHeight="1" x14ac:dyDescent="0.3">
      <c r="A171" s="68" t="s">
        <v>136</v>
      </c>
      <c r="B171" s="66"/>
      <c r="C171" s="66"/>
      <c r="D171" s="66"/>
      <c r="E171" s="66"/>
      <c r="F171" s="66"/>
      <c r="G171" s="66"/>
      <c r="H171" s="67"/>
    </row>
    <row r="172" spans="1:8" ht="18" customHeight="1" x14ac:dyDescent="0.3">
      <c r="A172" s="2" t="s">
        <v>137</v>
      </c>
      <c r="B172" s="6">
        <v>5000</v>
      </c>
      <c r="C172" s="6"/>
      <c r="D172" s="6"/>
      <c r="E172" s="6">
        <f t="shared" ref="E172:E175" si="103">C172+D172</f>
        <v>0</v>
      </c>
      <c r="F172" s="6">
        <f t="shared" ref="F172:F175" si="104">IF(AND(B172&gt;0,B172&gt;E172),B172-E172,0)</f>
        <v>5000</v>
      </c>
      <c r="G172" s="6">
        <f t="shared" ref="G172:G175" si="105">IF(AND(B172&gt;0,B172&lt;E172),B172-E172,0)</f>
        <v>0</v>
      </c>
      <c r="H172" s="6">
        <f t="shared" ref="H172:H175" si="106">IF(AND(B172=0,B172&lt;E172),E172-B172,0)</f>
        <v>0</v>
      </c>
    </row>
    <row r="173" spans="1:8" ht="18" customHeight="1" x14ac:dyDescent="0.3">
      <c r="A173" s="10" t="s">
        <v>138</v>
      </c>
      <c r="B173" s="11">
        <v>8600</v>
      </c>
      <c r="C173" s="11"/>
      <c r="D173" s="11"/>
      <c r="E173" s="11">
        <f t="shared" si="103"/>
        <v>0</v>
      </c>
      <c r="F173" s="11">
        <f t="shared" si="104"/>
        <v>8600</v>
      </c>
      <c r="G173" s="11">
        <f t="shared" si="105"/>
        <v>0</v>
      </c>
      <c r="H173" s="11">
        <f t="shared" si="106"/>
        <v>0</v>
      </c>
    </row>
    <row r="174" spans="1:8" ht="18" customHeight="1" x14ac:dyDescent="0.3">
      <c r="A174" s="2" t="s">
        <v>139</v>
      </c>
      <c r="B174" s="6">
        <v>4825</v>
      </c>
      <c r="C174" s="6"/>
      <c r="D174" s="6"/>
      <c r="E174" s="6">
        <f t="shared" si="103"/>
        <v>0</v>
      </c>
      <c r="F174" s="6">
        <f t="shared" si="104"/>
        <v>4825</v>
      </c>
      <c r="G174" s="6">
        <f t="shared" si="105"/>
        <v>0</v>
      </c>
      <c r="H174" s="6">
        <f t="shared" si="106"/>
        <v>0</v>
      </c>
    </row>
    <row r="175" spans="1:8" ht="18" customHeight="1" x14ac:dyDescent="0.3">
      <c r="A175" s="10" t="s">
        <v>140</v>
      </c>
      <c r="B175" s="11">
        <v>3000</v>
      </c>
      <c r="C175" s="11"/>
      <c r="D175" s="11"/>
      <c r="E175" s="11">
        <f t="shared" si="103"/>
        <v>0</v>
      </c>
      <c r="F175" s="11">
        <f t="shared" si="104"/>
        <v>3000</v>
      </c>
      <c r="G175" s="11">
        <f t="shared" si="105"/>
        <v>0</v>
      </c>
      <c r="H175" s="11">
        <f t="shared" si="106"/>
        <v>0</v>
      </c>
    </row>
    <row r="176" spans="1:8" ht="18" customHeight="1" x14ac:dyDescent="0.3">
      <c r="A176" s="7" t="s">
        <v>141</v>
      </c>
      <c r="B176" s="8">
        <f t="shared" ref="B176:H176" si="107">SUM(B172:B175)</f>
        <v>21425</v>
      </c>
      <c r="C176" s="8">
        <f t="shared" si="107"/>
        <v>0</v>
      </c>
      <c r="D176" s="8">
        <f t="shared" si="107"/>
        <v>0</v>
      </c>
      <c r="E176" s="8">
        <f t="shared" si="107"/>
        <v>0</v>
      </c>
      <c r="F176" s="8">
        <f t="shared" si="107"/>
        <v>21425</v>
      </c>
      <c r="G176" s="8">
        <f t="shared" si="107"/>
        <v>0</v>
      </c>
      <c r="H176" s="8">
        <f t="shared" si="107"/>
        <v>0</v>
      </c>
    </row>
    <row r="177" spans="1:8" ht="14.25" customHeight="1" x14ac:dyDescent="0.3">
      <c r="B177" s="9"/>
      <c r="C177" s="9"/>
      <c r="D177" s="9"/>
      <c r="E177" s="9"/>
      <c r="F177" s="9"/>
      <c r="G177" s="9"/>
      <c r="H177" s="9"/>
    </row>
    <row r="178" spans="1:8" ht="18" customHeight="1" x14ac:dyDescent="0.3">
      <c r="A178" s="68" t="s">
        <v>142</v>
      </c>
      <c r="B178" s="66"/>
      <c r="C178" s="66"/>
      <c r="D178" s="66"/>
      <c r="E178" s="66"/>
      <c r="F178" s="66"/>
      <c r="G178" s="66"/>
      <c r="H178" s="67"/>
    </row>
    <row r="179" spans="1:8" ht="18" customHeight="1" x14ac:dyDescent="0.3">
      <c r="A179" s="2" t="s">
        <v>143</v>
      </c>
      <c r="B179" s="6">
        <v>10000</v>
      </c>
      <c r="C179" s="6"/>
      <c r="D179" s="6"/>
      <c r="E179" s="6">
        <f t="shared" ref="E179:E182" si="108">C179+D179</f>
        <v>0</v>
      </c>
      <c r="F179" s="6">
        <f t="shared" ref="F179:F182" si="109">IF(AND(B179&gt;0,B179&gt;E179),B179-E179,0)</f>
        <v>10000</v>
      </c>
      <c r="G179" s="6">
        <f t="shared" ref="G179:G182" si="110">IF(AND(B179&gt;0,B179&lt;E179),B179-E179,0)</f>
        <v>0</v>
      </c>
      <c r="H179" s="6">
        <f t="shared" ref="H179:H182" si="111">IF(AND(B179=0,B179&lt;E179),E179-B179,0)</f>
        <v>0</v>
      </c>
    </row>
    <row r="180" spans="1:8" ht="18" customHeight="1" x14ac:dyDescent="0.3">
      <c r="A180" s="10" t="s">
        <v>144</v>
      </c>
      <c r="B180" s="11">
        <v>5500</v>
      </c>
      <c r="C180" s="11"/>
      <c r="D180" s="11"/>
      <c r="E180" s="11">
        <f t="shared" si="108"/>
        <v>0</v>
      </c>
      <c r="F180" s="11">
        <f t="shared" si="109"/>
        <v>5500</v>
      </c>
      <c r="G180" s="11">
        <f t="shared" si="110"/>
        <v>0</v>
      </c>
      <c r="H180" s="11">
        <f t="shared" si="111"/>
        <v>0</v>
      </c>
    </row>
    <row r="181" spans="1:8" ht="18" customHeight="1" x14ac:dyDescent="0.3">
      <c r="A181" s="2" t="s">
        <v>145</v>
      </c>
      <c r="B181" s="6">
        <v>1500</v>
      </c>
      <c r="C181" s="6"/>
      <c r="D181" s="6">
        <v>233</v>
      </c>
      <c r="E181" s="6">
        <f t="shared" si="108"/>
        <v>233</v>
      </c>
      <c r="F181" s="6">
        <f t="shared" si="109"/>
        <v>1267</v>
      </c>
      <c r="G181" s="6">
        <f t="shared" si="110"/>
        <v>0</v>
      </c>
      <c r="H181" s="6">
        <f t="shared" si="111"/>
        <v>0</v>
      </c>
    </row>
    <row r="182" spans="1:8" ht="18" customHeight="1" x14ac:dyDescent="0.3">
      <c r="A182" s="10" t="s">
        <v>146</v>
      </c>
      <c r="B182" s="11">
        <v>2500</v>
      </c>
      <c r="C182" s="11"/>
      <c r="D182" s="11"/>
      <c r="E182" s="11">
        <f t="shared" si="108"/>
        <v>0</v>
      </c>
      <c r="F182" s="11">
        <f t="shared" si="109"/>
        <v>2500</v>
      </c>
      <c r="G182" s="11">
        <f t="shared" si="110"/>
        <v>0</v>
      </c>
      <c r="H182" s="11">
        <f t="shared" si="111"/>
        <v>0</v>
      </c>
    </row>
    <row r="183" spans="1:8" ht="18" customHeight="1" x14ac:dyDescent="0.3">
      <c r="A183" s="7" t="s">
        <v>147</v>
      </c>
      <c r="B183" s="8">
        <f t="shared" ref="B183:H183" si="112">SUM(B179:B182)</f>
        <v>19500</v>
      </c>
      <c r="C183" s="8">
        <f t="shared" si="112"/>
        <v>0</v>
      </c>
      <c r="D183" s="8">
        <f t="shared" si="112"/>
        <v>233</v>
      </c>
      <c r="E183" s="8">
        <f t="shared" si="112"/>
        <v>233</v>
      </c>
      <c r="F183" s="8">
        <f t="shared" si="112"/>
        <v>19267</v>
      </c>
      <c r="G183" s="8">
        <f t="shared" si="112"/>
        <v>0</v>
      </c>
      <c r="H183" s="8">
        <f t="shared" si="112"/>
        <v>0</v>
      </c>
    </row>
    <row r="184" spans="1:8" ht="14.25" customHeight="1" x14ac:dyDescent="0.3">
      <c r="B184" s="9"/>
      <c r="C184" s="9"/>
      <c r="D184" s="9"/>
      <c r="E184" s="9"/>
      <c r="F184" s="9"/>
      <c r="G184" s="9"/>
      <c r="H184" s="9"/>
    </row>
    <row r="185" spans="1:8" ht="18" customHeight="1" x14ac:dyDescent="0.3">
      <c r="A185" s="68" t="s">
        <v>148</v>
      </c>
      <c r="B185" s="66"/>
      <c r="C185" s="66"/>
      <c r="D185" s="66"/>
      <c r="E185" s="66"/>
      <c r="F185" s="66"/>
      <c r="G185" s="66"/>
      <c r="H185" s="67"/>
    </row>
    <row r="186" spans="1:8" ht="18" customHeight="1" x14ac:dyDescent="0.3">
      <c r="A186" s="2" t="s">
        <v>149</v>
      </c>
      <c r="B186" s="6">
        <v>1200</v>
      </c>
      <c r="C186" s="6">
        <v>97.58</v>
      </c>
      <c r="D186" s="6">
        <v>175</v>
      </c>
      <c r="E186" s="6">
        <f t="shared" ref="E186:E189" si="113">C186+D186</f>
        <v>272.58</v>
      </c>
      <c r="F186" s="6">
        <f t="shared" ref="F186:F189" si="114">IF(AND(B186&gt;0,B186&gt;E186),B186-E186,0)</f>
        <v>927.42000000000007</v>
      </c>
      <c r="G186" s="6">
        <f t="shared" ref="G186:G189" si="115">IF(AND(B186&gt;0,B186&lt;E186),B186-E186,0)</f>
        <v>0</v>
      </c>
      <c r="H186" s="6">
        <f t="shared" ref="H186:H189" si="116">IF(AND(B186=0,B186&lt;E186),E186-B186,0)</f>
        <v>0</v>
      </c>
    </row>
    <row r="187" spans="1:8" ht="18" customHeight="1" x14ac:dyDescent="0.3">
      <c r="A187" s="10" t="s">
        <v>150</v>
      </c>
      <c r="B187" s="11">
        <v>1500</v>
      </c>
      <c r="C187" s="11"/>
      <c r="D187" s="11"/>
      <c r="E187" s="11">
        <f t="shared" si="113"/>
        <v>0</v>
      </c>
      <c r="F187" s="11">
        <f t="shared" si="114"/>
        <v>1500</v>
      </c>
      <c r="G187" s="11">
        <f t="shared" si="115"/>
        <v>0</v>
      </c>
      <c r="H187" s="11">
        <f t="shared" si="116"/>
        <v>0</v>
      </c>
    </row>
    <row r="188" spans="1:8" ht="18" customHeight="1" x14ac:dyDescent="0.3">
      <c r="A188" s="2" t="s">
        <v>151</v>
      </c>
      <c r="B188" s="6">
        <v>1000</v>
      </c>
      <c r="C188" s="6"/>
      <c r="D188" s="6">
        <f>159.86+150</f>
        <v>309.86</v>
      </c>
      <c r="E188" s="6">
        <f t="shared" si="113"/>
        <v>309.86</v>
      </c>
      <c r="F188" s="6">
        <f t="shared" si="114"/>
        <v>690.14</v>
      </c>
      <c r="G188" s="6">
        <f t="shared" si="115"/>
        <v>0</v>
      </c>
      <c r="H188" s="6">
        <f t="shared" si="116"/>
        <v>0</v>
      </c>
    </row>
    <row r="189" spans="1:8" ht="18" customHeight="1" x14ac:dyDescent="0.3">
      <c r="A189" s="10" t="s">
        <v>152</v>
      </c>
      <c r="B189" s="11">
        <v>3500</v>
      </c>
      <c r="C189" s="11"/>
      <c r="D189" s="11"/>
      <c r="E189" s="11">
        <f t="shared" si="113"/>
        <v>0</v>
      </c>
      <c r="F189" s="11">
        <f t="shared" si="114"/>
        <v>3500</v>
      </c>
      <c r="G189" s="11">
        <f t="shared" si="115"/>
        <v>0</v>
      </c>
      <c r="H189" s="11">
        <f t="shared" si="116"/>
        <v>0</v>
      </c>
    </row>
    <row r="190" spans="1:8" ht="18" customHeight="1" x14ac:dyDescent="0.3">
      <c r="A190" s="7" t="s">
        <v>153</v>
      </c>
      <c r="B190" s="8">
        <f t="shared" ref="B190:H190" si="117">SUM(B186:B189)</f>
        <v>7200</v>
      </c>
      <c r="C190" s="8">
        <f t="shared" si="117"/>
        <v>97.58</v>
      </c>
      <c r="D190" s="8">
        <f t="shared" si="117"/>
        <v>484.86</v>
      </c>
      <c r="E190" s="8">
        <f t="shared" si="117"/>
        <v>582.44000000000005</v>
      </c>
      <c r="F190" s="8">
        <f t="shared" si="117"/>
        <v>6617.5599999999995</v>
      </c>
      <c r="G190" s="8">
        <f t="shared" si="117"/>
        <v>0</v>
      </c>
      <c r="H190" s="8">
        <f t="shared" si="117"/>
        <v>0</v>
      </c>
    </row>
    <row r="191" spans="1:8" ht="14.25" customHeight="1" x14ac:dyDescent="0.3">
      <c r="B191" s="9"/>
      <c r="C191" s="9"/>
      <c r="D191" s="9"/>
      <c r="E191" s="9"/>
      <c r="F191" s="9"/>
      <c r="G191" s="9"/>
      <c r="H191" s="9"/>
    </row>
    <row r="192" spans="1:8" ht="18" customHeight="1" x14ac:dyDescent="0.3">
      <c r="A192" s="68" t="s">
        <v>154</v>
      </c>
      <c r="B192" s="66"/>
      <c r="C192" s="66"/>
      <c r="D192" s="66"/>
      <c r="E192" s="66"/>
      <c r="F192" s="66"/>
      <c r="G192" s="66"/>
      <c r="H192" s="67"/>
    </row>
    <row r="193" spans="1:8" ht="18" customHeight="1" x14ac:dyDescent="0.3">
      <c r="A193" s="2" t="s">
        <v>155</v>
      </c>
      <c r="B193" s="6">
        <v>25200</v>
      </c>
      <c r="C193" s="6">
        <f>10186.2+1549.8</f>
        <v>11736</v>
      </c>
      <c r="D193" s="6">
        <v>2043.9</v>
      </c>
      <c r="E193" s="6">
        <f t="shared" ref="E193:E195" si="118">C193+D193</f>
        <v>13779.9</v>
      </c>
      <c r="F193" s="6">
        <f>IF(AND(B193&gt;0,B193&gt;E193),B193-E193,0)</f>
        <v>11420.1</v>
      </c>
      <c r="G193" s="6">
        <f t="shared" ref="G193:G195" si="119">IF(AND(B193&gt;0,B193&lt;E193),B193-E193,0)</f>
        <v>0</v>
      </c>
      <c r="H193" s="6">
        <f t="shared" ref="H193:H195" si="120">IF(AND(B193=0,B193&lt;E193),E193-B193,0)</f>
        <v>0</v>
      </c>
    </row>
    <row r="194" spans="1:8" ht="14.25" customHeight="1" x14ac:dyDescent="0.3">
      <c r="A194" s="15" t="s">
        <v>156</v>
      </c>
      <c r="B194" s="14"/>
      <c r="C194" s="14">
        <v>-5000</v>
      </c>
      <c r="D194" s="14"/>
      <c r="E194" s="14">
        <f t="shared" si="118"/>
        <v>-5000</v>
      </c>
      <c r="F194" s="14">
        <f>-E194</f>
        <v>5000</v>
      </c>
      <c r="G194" s="14">
        <f t="shared" si="119"/>
        <v>0</v>
      </c>
      <c r="H194" s="14">
        <f t="shared" si="120"/>
        <v>0</v>
      </c>
    </row>
    <row r="195" spans="1:8" ht="18" customHeight="1" x14ac:dyDescent="0.3">
      <c r="A195" s="10" t="s">
        <v>157</v>
      </c>
      <c r="B195" s="11">
        <v>12600</v>
      </c>
      <c r="C195" s="11">
        <f>720+10*90</f>
        <v>1620</v>
      </c>
      <c r="D195" s="11">
        <f>9*90</f>
        <v>810</v>
      </c>
      <c r="E195" s="11">
        <f t="shared" si="118"/>
        <v>2430</v>
      </c>
      <c r="F195" s="11">
        <f>IF(AND(B195&gt;0,B195&gt;E195),B195-E195,0)</f>
        <v>10170</v>
      </c>
      <c r="G195" s="11">
        <f t="shared" si="119"/>
        <v>0</v>
      </c>
      <c r="H195" s="11">
        <f t="shared" si="120"/>
        <v>0</v>
      </c>
    </row>
    <row r="196" spans="1:8" ht="18" customHeight="1" x14ac:dyDescent="0.3">
      <c r="A196" s="7" t="s">
        <v>158</v>
      </c>
      <c r="B196" s="8">
        <f t="shared" ref="B196:H196" si="121">SUM(B193:B195)</f>
        <v>37800</v>
      </c>
      <c r="C196" s="8">
        <f t="shared" si="121"/>
        <v>8356</v>
      </c>
      <c r="D196" s="8">
        <f t="shared" si="121"/>
        <v>2853.9</v>
      </c>
      <c r="E196" s="8">
        <f t="shared" si="121"/>
        <v>11209.9</v>
      </c>
      <c r="F196" s="8">
        <f t="shared" si="121"/>
        <v>26590.1</v>
      </c>
      <c r="G196" s="8">
        <f t="shared" si="121"/>
        <v>0</v>
      </c>
      <c r="H196" s="8">
        <f t="shared" si="121"/>
        <v>0</v>
      </c>
    </row>
    <row r="197" spans="1:8" ht="14.25" customHeight="1" x14ac:dyDescent="0.3">
      <c r="B197" s="9"/>
      <c r="C197" s="9"/>
      <c r="D197" s="9"/>
      <c r="E197" s="9"/>
      <c r="F197" s="9"/>
      <c r="G197" s="9"/>
      <c r="H197" s="9"/>
    </row>
    <row r="198" spans="1:8" ht="18" customHeight="1" x14ac:dyDescent="0.3">
      <c r="A198" s="68" t="s">
        <v>159</v>
      </c>
      <c r="B198" s="66"/>
      <c r="C198" s="66"/>
      <c r="D198" s="66"/>
      <c r="E198" s="66"/>
      <c r="F198" s="66"/>
      <c r="G198" s="66"/>
      <c r="H198" s="67"/>
    </row>
    <row r="199" spans="1:8" ht="18" customHeight="1" x14ac:dyDescent="0.3">
      <c r="A199" s="2" t="s">
        <v>160</v>
      </c>
      <c r="B199" s="6">
        <v>8628.48</v>
      </c>
      <c r="C199" s="6">
        <f>435.6+737.1</f>
        <v>1172.7</v>
      </c>
      <c r="D199" s="6">
        <v>737.1</v>
      </c>
      <c r="E199" s="6">
        <f t="shared" ref="E199:E202" si="122">C199+D199</f>
        <v>1909.8000000000002</v>
      </c>
      <c r="F199" s="6">
        <f t="shared" ref="F199:F202" si="123">IF(AND(B199&gt;0,B199&gt;E199),B199-E199,0)</f>
        <v>6718.6799999999994</v>
      </c>
      <c r="G199" s="6">
        <f t="shared" ref="G199:G202" si="124">IF(AND(B199&gt;0,B199&lt;E199),B199-E199,0)</f>
        <v>0</v>
      </c>
      <c r="H199" s="6">
        <f t="shared" ref="H199:H202" si="125">IF(AND(B199=0,B199&lt;E199),E199-B199,0)</f>
        <v>0</v>
      </c>
    </row>
    <row r="200" spans="1:8" ht="18" customHeight="1" x14ac:dyDescent="0.3">
      <c r="A200" s="10" t="s">
        <v>161</v>
      </c>
      <c r="B200" s="11">
        <v>5000</v>
      </c>
      <c r="C200" s="11"/>
      <c r="D200" s="11">
        <v>0</v>
      </c>
      <c r="E200" s="11">
        <f t="shared" si="122"/>
        <v>0</v>
      </c>
      <c r="F200" s="11">
        <f t="shared" si="123"/>
        <v>5000</v>
      </c>
      <c r="G200" s="11">
        <f t="shared" si="124"/>
        <v>0</v>
      </c>
      <c r="H200" s="11">
        <f t="shared" si="125"/>
        <v>0</v>
      </c>
    </row>
    <row r="201" spans="1:8" ht="18" customHeight="1" x14ac:dyDescent="0.3">
      <c r="A201" s="2" t="s">
        <v>162</v>
      </c>
      <c r="B201" s="6">
        <v>23400</v>
      </c>
      <c r="C201" s="6"/>
      <c r="D201" s="6">
        <f>665+655.05</f>
        <v>1320.05</v>
      </c>
      <c r="E201" s="6">
        <f t="shared" si="122"/>
        <v>1320.05</v>
      </c>
      <c r="F201" s="6">
        <f t="shared" si="123"/>
        <v>22079.95</v>
      </c>
      <c r="G201" s="6">
        <f t="shared" si="124"/>
        <v>0</v>
      </c>
      <c r="H201" s="6">
        <f t="shared" si="125"/>
        <v>0</v>
      </c>
    </row>
    <row r="202" spans="1:8" ht="18" customHeight="1" x14ac:dyDescent="0.3">
      <c r="A202" s="10" t="s">
        <v>163</v>
      </c>
      <c r="B202" s="11">
        <v>2000</v>
      </c>
      <c r="C202" s="11"/>
      <c r="D202" s="11"/>
      <c r="E202" s="11">
        <f t="shared" si="122"/>
        <v>0</v>
      </c>
      <c r="F202" s="11">
        <f t="shared" si="123"/>
        <v>2000</v>
      </c>
      <c r="G202" s="11">
        <f t="shared" si="124"/>
        <v>0</v>
      </c>
      <c r="H202" s="11">
        <f t="shared" si="125"/>
        <v>0</v>
      </c>
    </row>
    <row r="203" spans="1:8" ht="18" customHeight="1" x14ac:dyDescent="0.3">
      <c r="A203" s="7" t="s">
        <v>164</v>
      </c>
      <c r="B203" s="8">
        <f t="shared" ref="B203:H203" si="126">SUM(B199:B202)</f>
        <v>39028.479999999996</v>
      </c>
      <c r="C203" s="8">
        <f t="shared" si="126"/>
        <v>1172.7</v>
      </c>
      <c r="D203" s="8">
        <f t="shared" si="126"/>
        <v>2057.15</v>
      </c>
      <c r="E203" s="8">
        <f t="shared" si="126"/>
        <v>3229.8500000000004</v>
      </c>
      <c r="F203" s="8">
        <f t="shared" si="126"/>
        <v>35798.630000000005</v>
      </c>
      <c r="G203" s="8">
        <f t="shared" si="126"/>
        <v>0</v>
      </c>
      <c r="H203" s="8">
        <f t="shared" si="126"/>
        <v>0</v>
      </c>
    </row>
    <row r="204" spans="1:8" ht="14.25" customHeight="1" x14ac:dyDescent="0.3">
      <c r="B204" s="9"/>
      <c r="C204" s="9"/>
      <c r="D204" s="9"/>
      <c r="E204" s="9"/>
      <c r="F204" s="9"/>
      <c r="G204" s="9"/>
      <c r="H204" s="9"/>
    </row>
    <row r="205" spans="1:8" ht="15" customHeight="1" x14ac:dyDescent="0.3">
      <c r="A205" s="16" t="s">
        <v>165</v>
      </c>
      <c r="B205" s="17">
        <f t="shared" ref="B205:H205" si="127">B6+B12+B20+B28+B43+B53+B58+B64+B73+B79+B87+B93+B99+B108+B113+B120+B133+B144+B161+B169+B176+B183+B190+B196+B203</f>
        <v>1172519.6499999999</v>
      </c>
      <c r="C205" s="17">
        <f t="shared" si="127"/>
        <v>108382.84999999999</v>
      </c>
      <c r="D205" s="17">
        <f t="shared" si="127"/>
        <v>84098.92</v>
      </c>
      <c r="E205" s="17">
        <f t="shared" si="127"/>
        <v>192481.77000000002</v>
      </c>
      <c r="F205" s="17">
        <f t="shared" si="127"/>
        <v>1012338.6499999999</v>
      </c>
      <c r="G205" s="17">
        <f t="shared" si="127"/>
        <v>-9373.6799999999985</v>
      </c>
      <c r="H205" s="17">
        <f t="shared" si="127"/>
        <v>22927.09</v>
      </c>
    </row>
    <row r="206" spans="1:8" ht="15" customHeight="1" x14ac:dyDescent="0.3">
      <c r="A206" s="18" t="s">
        <v>166</v>
      </c>
      <c r="B206" s="19">
        <f t="shared" ref="B206" si="128">B205*0.15</f>
        <v>175877.94749999998</v>
      </c>
      <c r="C206" s="19">
        <f>(C205*0.15)-(($C$199+$C$196-$G$9)*0.15)</f>
        <v>13875.040499999999</v>
      </c>
      <c r="D206" s="19">
        <f>(D205*0.15)-(($D$199+$D$196+$D$35+655.05)*0.15)</f>
        <v>11856.985499999999</v>
      </c>
      <c r="E206" s="19">
        <f>(E205*0.15)-(($E$199+$E$196-$G$9)*0.15)</f>
        <v>25951.228500000001</v>
      </c>
      <c r="F206" s="19">
        <f>F205*0.15</f>
        <v>151850.79749999999</v>
      </c>
      <c r="G206" s="19">
        <f>(G205*0.15)+(-$G$9*0.15)</f>
        <v>-452.9699999999998</v>
      </c>
      <c r="H206" s="19">
        <f>H205*0.15</f>
        <v>3439.0634999999997</v>
      </c>
    </row>
    <row r="207" spans="1:8" ht="15" customHeight="1" x14ac:dyDescent="0.3">
      <c r="A207" s="20" t="s">
        <v>167</v>
      </c>
      <c r="B207" s="21">
        <f t="shared" ref="B207:H207" si="129">(B205+B206)*0.05</f>
        <v>67419.879874999999</v>
      </c>
      <c r="C207" s="21">
        <f t="shared" si="129"/>
        <v>6112.8945249999997</v>
      </c>
      <c r="D207" s="21">
        <f t="shared" si="129"/>
        <v>4797.7952749999995</v>
      </c>
      <c r="E207" s="21">
        <f t="shared" si="129"/>
        <v>10921.649925000002</v>
      </c>
      <c r="F207" s="21">
        <f t="shared" si="129"/>
        <v>58209.47237499999</v>
      </c>
      <c r="G207" s="21">
        <f t="shared" si="129"/>
        <v>-491.33249999999992</v>
      </c>
      <c r="H207" s="21">
        <f t="shared" si="129"/>
        <v>1318.307675</v>
      </c>
    </row>
    <row r="208" spans="1:8" ht="15" customHeight="1" x14ac:dyDescent="0.3">
      <c r="A208" s="16" t="s">
        <v>168</v>
      </c>
      <c r="B208" s="17">
        <f t="shared" ref="B208:H208" si="130">B205+B206+B207</f>
        <v>1415817.477375</v>
      </c>
      <c r="C208" s="17">
        <f t="shared" si="130"/>
        <v>128370.78502499999</v>
      </c>
      <c r="D208" s="17">
        <f t="shared" si="130"/>
        <v>100753.70077499999</v>
      </c>
      <c r="E208" s="17">
        <f t="shared" si="130"/>
        <v>229354.64842500002</v>
      </c>
      <c r="F208" s="17">
        <f t="shared" si="130"/>
        <v>1222398.9198749997</v>
      </c>
      <c r="G208" s="17">
        <f t="shared" si="130"/>
        <v>-10317.982499999998</v>
      </c>
      <c r="H208" s="17">
        <f t="shared" si="130"/>
        <v>27684.461175</v>
      </c>
    </row>
    <row r="209" spans="1:8" ht="14.25" customHeight="1" x14ac:dyDescent="0.3">
      <c r="B209" s="9"/>
      <c r="C209" s="9"/>
      <c r="D209" s="9"/>
      <c r="E209" s="9"/>
      <c r="F209" s="9"/>
      <c r="G209" s="9"/>
      <c r="H209" s="9"/>
    </row>
    <row r="210" spans="1:8" ht="14.25" customHeight="1" x14ac:dyDescent="0.3">
      <c r="B210" s="9"/>
      <c r="C210" s="9"/>
      <c r="D210" s="9"/>
      <c r="E210" s="9"/>
      <c r="F210" s="9"/>
      <c r="G210" s="9"/>
      <c r="H210" s="9"/>
    </row>
    <row r="211" spans="1:8" ht="18" customHeight="1" x14ac:dyDescent="0.3">
      <c r="A211" s="65" t="s">
        <v>169</v>
      </c>
      <c r="B211" s="66"/>
      <c r="C211" s="66"/>
      <c r="D211" s="66"/>
      <c r="E211" s="66"/>
      <c r="F211" s="66"/>
      <c r="G211" s="66"/>
      <c r="H211" s="67"/>
    </row>
  </sheetData>
  <mergeCells count="26">
    <mergeCell ref="A115:H115"/>
    <mergeCell ref="A122:H122"/>
    <mergeCell ref="A135:H135"/>
    <mergeCell ref="A211:H211"/>
    <mergeCell ref="A146:H146"/>
    <mergeCell ref="A163:H163"/>
    <mergeCell ref="A171:H171"/>
    <mergeCell ref="A178:H178"/>
    <mergeCell ref="A185:H185"/>
    <mergeCell ref="A192:H192"/>
    <mergeCell ref="A198:H198"/>
    <mergeCell ref="A81:H81"/>
    <mergeCell ref="A89:H89"/>
    <mergeCell ref="A95:H95"/>
    <mergeCell ref="A101:H101"/>
    <mergeCell ref="A110:H110"/>
    <mergeCell ref="A45:H45"/>
    <mergeCell ref="A55:H55"/>
    <mergeCell ref="A60:H60"/>
    <mergeCell ref="A66:H66"/>
    <mergeCell ref="A75:H75"/>
    <mergeCell ref="A4:H4"/>
    <mergeCell ref="A8:H8"/>
    <mergeCell ref="A14:H14"/>
    <mergeCell ref="A22:H22"/>
    <mergeCell ref="A30:H30"/>
  </mergeCells>
  <conditionalFormatting sqref="G5:G11 G13:G19 G21:G27 G29:G72 G74:G143 G145:G160 G162:G168 G170:G175 G177:G182 G184:G189 G191:G195 G197:G202 G204">
    <cfRule type="cellIs" dxfId="3" priority="2" operator="lessThan">
      <formula>0</formula>
    </cfRule>
  </conditionalFormatting>
  <conditionalFormatting sqref="H5:H11 H13:H19 H21:H27 H29:H42 H44:H72 H74:H78 H80:H86 H88:H92 H94:H98 H100:H107 H109:H112 H114:H124">
    <cfRule type="cellIs" dxfId="2" priority="3" operator="greaterThan">
      <formula>0</formula>
    </cfRule>
  </conditionalFormatting>
  <conditionalFormatting sqref="H43">
    <cfRule type="cellIs" dxfId="1" priority="1" operator="lessThan">
      <formula>0</formula>
    </cfRule>
  </conditionalFormatting>
  <conditionalFormatting sqref="H194">
    <cfRule type="cellIs" dxfId="0" priority="4" operator="greaterThan">
      <formula>0</formula>
    </cfRule>
  </conditionalFormatting>
  <pageMargins left="0.14000000000000001" right="0.08" top="0.13" bottom="0.39" header="0" footer="0"/>
  <pageSetup scale="93" orientation="landscape" r:id="rId1"/>
  <headerFoot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workbookViewId="0">
      <selection activeCell="G104" sqref="G104"/>
    </sheetView>
  </sheetViews>
  <sheetFormatPr defaultColWidth="14.44140625" defaultRowHeight="15" customHeight="1" x14ac:dyDescent="0.3"/>
  <cols>
    <col min="1" max="1" width="23" bestFit="1" customWidth="1"/>
    <col min="2" max="2" width="30.6640625" customWidth="1"/>
    <col min="3" max="3" width="34.5546875" customWidth="1"/>
    <col min="4" max="4" width="16.33203125" customWidth="1"/>
    <col min="5" max="5" width="11.6640625" customWidth="1"/>
    <col min="6" max="6" width="27.5546875" customWidth="1"/>
    <col min="7" max="7" width="16.33203125" customWidth="1"/>
    <col min="8" max="26" width="8.6640625" customWidth="1"/>
  </cols>
  <sheetData>
    <row r="1" spans="1:12" ht="3.75" customHeight="1" x14ac:dyDescent="0.3">
      <c r="A1" s="1"/>
      <c r="B1" s="1"/>
      <c r="C1" s="1"/>
      <c r="D1" s="1"/>
      <c r="E1" s="1"/>
      <c r="F1" s="1"/>
      <c r="G1" s="1"/>
    </row>
    <row r="2" spans="1:12" ht="27.75" customHeight="1" x14ac:dyDescent="0.3">
      <c r="A2" s="22" t="s">
        <v>0</v>
      </c>
      <c r="B2" s="22" t="s">
        <v>170</v>
      </c>
      <c r="C2" s="23" t="s">
        <v>171</v>
      </c>
      <c r="D2" s="22" t="s">
        <v>172</v>
      </c>
      <c r="E2" s="22" t="s">
        <v>173</v>
      </c>
      <c r="F2" s="22" t="s">
        <v>174</v>
      </c>
      <c r="G2" s="22" t="s">
        <v>175</v>
      </c>
    </row>
    <row r="3" spans="1:12" ht="14.25" customHeight="1" x14ac:dyDescent="0.3">
      <c r="A3" s="34" t="s">
        <v>176</v>
      </c>
      <c r="B3" s="35"/>
      <c r="C3" s="36"/>
      <c r="D3" s="36"/>
      <c r="E3" s="37"/>
      <c r="F3" s="28"/>
      <c r="G3" s="28"/>
    </row>
    <row r="4" spans="1:12" ht="14.25" customHeight="1" x14ac:dyDescent="0.3">
      <c r="A4" s="38"/>
      <c r="B4" s="39">
        <v>45783</v>
      </c>
      <c r="C4" s="40" t="s">
        <v>177</v>
      </c>
      <c r="D4" s="40" t="s">
        <v>178</v>
      </c>
      <c r="E4" s="41">
        <v>3</v>
      </c>
      <c r="F4" s="32">
        <v>90</v>
      </c>
      <c r="G4" s="32">
        <f t="shared" ref="G4:G35" si="0">E4*F4</f>
        <v>270</v>
      </c>
      <c r="I4" s="24"/>
      <c r="J4" s="25"/>
      <c r="K4" s="25"/>
      <c r="L4" s="25"/>
    </row>
    <row r="5" spans="1:12" ht="14.25" customHeight="1" x14ac:dyDescent="0.3">
      <c r="A5" s="42"/>
      <c r="B5" s="43">
        <v>45791</v>
      </c>
      <c r="C5" s="44" t="s">
        <v>179</v>
      </c>
      <c r="D5" s="44" t="s">
        <v>178</v>
      </c>
      <c r="E5" s="45">
        <v>1.5</v>
      </c>
      <c r="F5" s="31">
        <v>90</v>
      </c>
      <c r="G5" s="31">
        <f t="shared" si="0"/>
        <v>135</v>
      </c>
      <c r="I5" s="24"/>
      <c r="J5" s="25"/>
      <c r="K5" s="25"/>
      <c r="L5" s="25"/>
    </row>
    <row r="6" spans="1:12" ht="14.25" customHeight="1" x14ac:dyDescent="0.3">
      <c r="A6" s="38"/>
      <c r="B6" s="39">
        <v>45798</v>
      </c>
      <c r="C6" s="40" t="s">
        <v>179</v>
      </c>
      <c r="D6" s="40" t="s">
        <v>178</v>
      </c>
      <c r="E6" s="41">
        <v>1.5</v>
      </c>
      <c r="F6" s="32">
        <v>90</v>
      </c>
      <c r="G6" s="32">
        <f t="shared" si="0"/>
        <v>135</v>
      </c>
    </row>
    <row r="7" spans="1:12" ht="14.25" customHeight="1" x14ac:dyDescent="0.3">
      <c r="A7" s="42"/>
      <c r="B7" s="43">
        <v>45807</v>
      </c>
      <c r="C7" s="44" t="s">
        <v>179</v>
      </c>
      <c r="D7" s="44" t="s">
        <v>178</v>
      </c>
      <c r="E7" s="45">
        <v>4</v>
      </c>
      <c r="F7" s="31">
        <v>90</v>
      </c>
      <c r="G7" s="31">
        <f t="shared" si="0"/>
        <v>360</v>
      </c>
    </row>
    <row r="8" spans="1:12" ht="14.25" customHeight="1" x14ac:dyDescent="0.3">
      <c r="A8" s="38"/>
      <c r="B8" s="39">
        <v>45810</v>
      </c>
      <c r="C8" s="40" t="s">
        <v>179</v>
      </c>
      <c r="D8" s="40" t="s">
        <v>178</v>
      </c>
      <c r="E8" s="41">
        <v>1.68</v>
      </c>
      <c r="F8" s="32">
        <v>90</v>
      </c>
      <c r="G8" s="32">
        <f t="shared" si="0"/>
        <v>151.19999999999999</v>
      </c>
    </row>
    <row r="9" spans="1:12" ht="14.25" customHeight="1" x14ac:dyDescent="0.3">
      <c r="A9" s="42"/>
      <c r="B9" s="43">
        <v>45811</v>
      </c>
      <c r="C9" s="44" t="s">
        <v>179</v>
      </c>
      <c r="D9" s="44" t="s">
        <v>178</v>
      </c>
      <c r="E9" s="45">
        <v>5.17</v>
      </c>
      <c r="F9" s="31">
        <v>90</v>
      </c>
      <c r="G9" s="31">
        <f t="shared" si="0"/>
        <v>465.3</v>
      </c>
    </row>
    <row r="10" spans="1:12" ht="14.25" customHeight="1" x14ac:dyDescent="0.3">
      <c r="A10" s="38"/>
      <c r="B10" s="39">
        <v>45812</v>
      </c>
      <c r="C10" s="40" t="s">
        <v>180</v>
      </c>
      <c r="D10" s="40" t="s">
        <v>178</v>
      </c>
      <c r="E10" s="41">
        <v>4</v>
      </c>
      <c r="F10" s="32">
        <v>90</v>
      </c>
      <c r="G10" s="32">
        <f t="shared" si="0"/>
        <v>360</v>
      </c>
    </row>
    <row r="11" spans="1:12" ht="14.25" customHeight="1" x14ac:dyDescent="0.3">
      <c r="A11" s="42"/>
      <c r="B11" s="43">
        <v>45812</v>
      </c>
      <c r="C11" s="44" t="s">
        <v>179</v>
      </c>
      <c r="D11" s="44" t="s">
        <v>178</v>
      </c>
      <c r="E11" s="45">
        <v>3.33</v>
      </c>
      <c r="F11" s="31">
        <v>90</v>
      </c>
      <c r="G11" s="31">
        <f t="shared" si="0"/>
        <v>299.7</v>
      </c>
    </row>
    <row r="12" spans="1:12" ht="14.25" customHeight="1" x14ac:dyDescent="0.3">
      <c r="A12" s="38"/>
      <c r="B12" s="39">
        <v>45812</v>
      </c>
      <c r="C12" s="40" t="s">
        <v>179</v>
      </c>
      <c r="D12" s="40" t="s">
        <v>178</v>
      </c>
      <c r="E12" s="41">
        <v>1.67</v>
      </c>
      <c r="F12" s="32">
        <v>90</v>
      </c>
      <c r="G12" s="32">
        <f t="shared" si="0"/>
        <v>150.29999999999998</v>
      </c>
    </row>
    <row r="13" spans="1:12" ht="14.25" customHeight="1" x14ac:dyDescent="0.3">
      <c r="A13" s="42"/>
      <c r="B13" s="43">
        <v>45813</v>
      </c>
      <c r="C13" s="44" t="s">
        <v>180</v>
      </c>
      <c r="D13" s="44" t="s">
        <v>178</v>
      </c>
      <c r="E13" s="45">
        <v>5</v>
      </c>
      <c r="F13" s="31">
        <v>90</v>
      </c>
      <c r="G13" s="31">
        <f t="shared" si="0"/>
        <v>450</v>
      </c>
    </row>
    <row r="14" spans="1:12" ht="14.25" customHeight="1" x14ac:dyDescent="0.3">
      <c r="A14" s="38"/>
      <c r="B14" s="39">
        <v>45813</v>
      </c>
      <c r="C14" s="40" t="s">
        <v>179</v>
      </c>
      <c r="D14" s="40" t="s">
        <v>178</v>
      </c>
      <c r="E14" s="41">
        <v>2.17</v>
      </c>
      <c r="F14" s="32">
        <v>90</v>
      </c>
      <c r="G14" s="32">
        <f t="shared" si="0"/>
        <v>195.29999999999998</v>
      </c>
    </row>
    <row r="15" spans="1:12" ht="14.25" customHeight="1" x14ac:dyDescent="0.3">
      <c r="A15" s="42"/>
      <c r="B15" s="43">
        <v>45824</v>
      </c>
      <c r="C15" s="44" t="s">
        <v>177</v>
      </c>
      <c r="D15" s="44" t="s">
        <v>178</v>
      </c>
      <c r="E15" s="45">
        <v>3</v>
      </c>
      <c r="F15" s="31">
        <v>90</v>
      </c>
      <c r="G15" s="31">
        <f t="shared" si="0"/>
        <v>270</v>
      </c>
    </row>
    <row r="16" spans="1:12" ht="14.25" customHeight="1" x14ac:dyDescent="0.3">
      <c r="A16" s="38"/>
      <c r="B16" s="39">
        <v>45826</v>
      </c>
      <c r="C16" s="40" t="s">
        <v>179</v>
      </c>
      <c r="D16" s="40" t="s">
        <v>178</v>
      </c>
      <c r="E16" s="41">
        <v>4.5</v>
      </c>
      <c r="F16" s="32">
        <v>90</v>
      </c>
      <c r="G16" s="32">
        <f t="shared" si="0"/>
        <v>405</v>
      </c>
    </row>
    <row r="17" spans="1:7" ht="14.25" customHeight="1" x14ac:dyDescent="0.3">
      <c r="A17" s="42"/>
      <c r="B17" s="43">
        <v>45830</v>
      </c>
      <c r="C17" s="44" t="s">
        <v>180</v>
      </c>
      <c r="D17" s="44" t="s">
        <v>178</v>
      </c>
      <c r="E17" s="45">
        <v>5.67</v>
      </c>
      <c r="F17" s="31">
        <v>90</v>
      </c>
      <c r="G17" s="31">
        <f t="shared" si="0"/>
        <v>510.3</v>
      </c>
    </row>
    <row r="18" spans="1:7" ht="14.25" customHeight="1" x14ac:dyDescent="0.3">
      <c r="A18" s="38"/>
      <c r="B18" s="39">
        <v>45835</v>
      </c>
      <c r="C18" s="40" t="s">
        <v>180</v>
      </c>
      <c r="D18" s="40" t="s">
        <v>178</v>
      </c>
      <c r="E18" s="41">
        <v>4.83</v>
      </c>
      <c r="F18" s="32">
        <v>90</v>
      </c>
      <c r="G18" s="32">
        <f t="shared" si="0"/>
        <v>434.7</v>
      </c>
    </row>
    <row r="19" spans="1:7" ht="14.25" customHeight="1" x14ac:dyDescent="0.3">
      <c r="A19" s="42"/>
      <c r="B19" s="43">
        <v>45835</v>
      </c>
      <c r="C19" s="44" t="s">
        <v>181</v>
      </c>
      <c r="D19" s="44" t="s">
        <v>178</v>
      </c>
      <c r="E19" s="45">
        <v>3.67</v>
      </c>
      <c r="F19" s="31">
        <v>90</v>
      </c>
      <c r="G19" s="31">
        <f t="shared" si="0"/>
        <v>330.3</v>
      </c>
    </row>
    <row r="20" spans="1:7" ht="14.25" customHeight="1" x14ac:dyDescent="0.3">
      <c r="A20" s="38"/>
      <c r="B20" s="39">
        <v>45925</v>
      </c>
      <c r="C20" s="40" t="s">
        <v>179</v>
      </c>
      <c r="D20" s="40" t="s">
        <v>178</v>
      </c>
      <c r="E20" s="41">
        <v>3</v>
      </c>
      <c r="F20" s="32">
        <v>90</v>
      </c>
      <c r="G20" s="32">
        <f t="shared" si="0"/>
        <v>270</v>
      </c>
    </row>
    <row r="21" spans="1:7" ht="14.25" customHeight="1" x14ac:dyDescent="0.3">
      <c r="A21" s="42"/>
      <c r="B21" s="43">
        <v>45932</v>
      </c>
      <c r="C21" s="44" t="s">
        <v>179</v>
      </c>
      <c r="D21" s="44" t="s">
        <v>178</v>
      </c>
      <c r="E21" s="45">
        <v>5.67</v>
      </c>
      <c r="F21" s="31">
        <v>90</v>
      </c>
      <c r="G21" s="31">
        <f t="shared" si="0"/>
        <v>510.3</v>
      </c>
    </row>
    <row r="22" spans="1:7" ht="14.25" customHeight="1" x14ac:dyDescent="0.3">
      <c r="A22" s="38"/>
      <c r="B22" s="39">
        <v>45938</v>
      </c>
      <c r="C22" s="40" t="s">
        <v>177</v>
      </c>
      <c r="D22" s="40" t="s">
        <v>178</v>
      </c>
      <c r="E22" s="41">
        <v>2</v>
      </c>
      <c r="F22" s="32">
        <v>90</v>
      </c>
      <c r="G22" s="32">
        <f t="shared" si="0"/>
        <v>180</v>
      </c>
    </row>
    <row r="23" spans="1:7" ht="14.25" customHeight="1" x14ac:dyDescent="0.3">
      <c r="A23" s="42"/>
      <c r="B23" s="43">
        <v>45939</v>
      </c>
      <c r="C23" s="44" t="s">
        <v>181</v>
      </c>
      <c r="D23" s="44" t="s">
        <v>178</v>
      </c>
      <c r="E23" s="45">
        <v>2.67</v>
      </c>
      <c r="F23" s="31">
        <v>90</v>
      </c>
      <c r="G23" s="31">
        <f t="shared" si="0"/>
        <v>240.29999999999998</v>
      </c>
    </row>
    <row r="24" spans="1:7" ht="14.25" customHeight="1" x14ac:dyDescent="0.3">
      <c r="A24" s="38"/>
      <c r="B24" s="39">
        <v>45945</v>
      </c>
      <c r="C24" s="40" t="s">
        <v>179</v>
      </c>
      <c r="D24" s="40" t="s">
        <v>178</v>
      </c>
      <c r="E24" s="41">
        <v>2.33</v>
      </c>
      <c r="F24" s="32">
        <v>90</v>
      </c>
      <c r="G24" s="32">
        <f t="shared" si="0"/>
        <v>209.70000000000002</v>
      </c>
    </row>
    <row r="25" spans="1:7" ht="14.25" customHeight="1" x14ac:dyDescent="0.3">
      <c r="A25" s="42"/>
      <c r="B25" s="43">
        <v>45945</v>
      </c>
      <c r="C25" s="44" t="s">
        <v>181</v>
      </c>
      <c r="D25" s="44" t="s">
        <v>178</v>
      </c>
      <c r="E25" s="45">
        <v>5.83</v>
      </c>
      <c r="F25" s="31">
        <v>90</v>
      </c>
      <c r="G25" s="31">
        <f t="shared" si="0"/>
        <v>524.70000000000005</v>
      </c>
    </row>
    <row r="26" spans="1:7" ht="14.25" customHeight="1" x14ac:dyDescent="0.3">
      <c r="A26" s="38"/>
      <c r="B26" s="39">
        <v>45947</v>
      </c>
      <c r="C26" s="40" t="s">
        <v>181</v>
      </c>
      <c r="D26" s="40" t="s">
        <v>178</v>
      </c>
      <c r="E26" s="41">
        <v>1.83</v>
      </c>
      <c r="F26" s="32">
        <v>90</v>
      </c>
      <c r="G26" s="32">
        <f t="shared" si="0"/>
        <v>164.70000000000002</v>
      </c>
    </row>
    <row r="27" spans="1:7" ht="14.25" customHeight="1" x14ac:dyDescent="0.3">
      <c r="A27" s="42"/>
      <c r="B27" s="43">
        <v>45952</v>
      </c>
      <c r="C27" s="44" t="s">
        <v>179</v>
      </c>
      <c r="D27" s="44" t="s">
        <v>178</v>
      </c>
      <c r="E27" s="45">
        <v>2.33</v>
      </c>
      <c r="F27" s="31">
        <v>90</v>
      </c>
      <c r="G27" s="31">
        <f t="shared" si="0"/>
        <v>209.70000000000002</v>
      </c>
    </row>
    <row r="28" spans="1:7" ht="14.25" customHeight="1" x14ac:dyDescent="0.3">
      <c r="A28" s="38"/>
      <c r="B28" s="39">
        <v>45974</v>
      </c>
      <c r="C28" s="40" t="s">
        <v>179</v>
      </c>
      <c r="D28" s="40" t="s">
        <v>178</v>
      </c>
      <c r="E28" s="41">
        <v>2.17</v>
      </c>
      <c r="F28" s="32">
        <v>90</v>
      </c>
      <c r="G28" s="32">
        <f t="shared" si="0"/>
        <v>195.29999999999998</v>
      </c>
    </row>
    <row r="29" spans="1:7" ht="14.25" customHeight="1" x14ac:dyDescent="0.3">
      <c r="A29" s="42"/>
      <c r="B29" s="43">
        <v>45979</v>
      </c>
      <c r="C29" s="44" t="s">
        <v>181</v>
      </c>
      <c r="D29" s="44" t="s">
        <v>178</v>
      </c>
      <c r="E29" s="45">
        <v>0.33</v>
      </c>
      <c r="F29" s="31">
        <v>90</v>
      </c>
      <c r="G29" s="31">
        <f t="shared" si="0"/>
        <v>29.700000000000003</v>
      </c>
    </row>
    <row r="30" spans="1:7" ht="14.25" customHeight="1" x14ac:dyDescent="0.3">
      <c r="A30" s="38"/>
      <c r="B30" s="39">
        <v>45994</v>
      </c>
      <c r="C30" s="40" t="s">
        <v>181</v>
      </c>
      <c r="D30" s="40" t="s">
        <v>178</v>
      </c>
      <c r="E30" s="41">
        <v>6.33</v>
      </c>
      <c r="F30" s="32">
        <v>90</v>
      </c>
      <c r="G30" s="32">
        <f t="shared" si="0"/>
        <v>569.70000000000005</v>
      </c>
    </row>
    <row r="31" spans="1:7" ht="14.25" customHeight="1" x14ac:dyDescent="0.3">
      <c r="A31" s="42"/>
      <c r="B31" s="43">
        <v>46000</v>
      </c>
      <c r="C31" s="44" t="s">
        <v>179</v>
      </c>
      <c r="D31" s="44" t="s">
        <v>178</v>
      </c>
      <c r="E31" s="45">
        <v>1.17</v>
      </c>
      <c r="F31" s="31">
        <v>90</v>
      </c>
      <c r="G31" s="31">
        <f t="shared" si="0"/>
        <v>105.3</v>
      </c>
    </row>
    <row r="32" spans="1:7" ht="14.25" customHeight="1" x14ac:dyDescent="0.3">
      <c r="A32" s="38"/>
      <c r="B32" s="39">
        <v>46003</v>
      </c>
      <c r="C32" s="40" t="s">
        <v>180</v>
      </c>
      <c r="D32" s="40" t="s">
        <v>178</v>
      </c>
      <c r="E32" s="41">
        <v>4.5</v>
      </c>
      <c r="F32" s="32">
        <v>90</v>
      </c>
      <c r="G32" s="32">
        <f t="shared" si="0"/>
        <v>405</v>
      </c>
    </row>
    <row r="33" spans="1:7" ht="14.25" customHeight="1" x14ac:dyDescent="0.3">
      <c r="A33" s="42"/>
      <c r="B33" s="43">
        <v>46007</v>
      </c>
      <c r="C33" s="44" t="s">
        <v>181</v>
      </c>
      <c r="D33" s="44" t="s">
        <v>178</v>
      </c>
      <c r="E33" s="45">
        <v>3.67</v>
      </c>
      <c r="F33" s="31">
        <v>90</v>
      </c>
      <c r="G33" s="31">
        <f t="shared" si="0"/>
        <v>330.3</v>
      </c>
    </row>
    <row r="34" spans="1:7" ht="14.25" customHeight="1" x14ac:dyDescent="0.3">
      <c r="A34" s="38"/>
      <c r="B34" s="39">
        <v>46043</v>
      </c>
      <c r="C34" s="40" t="s">
        <v>180</v>
      </c>
      <c r="D34" s="40" t="s">
        <v>178</v>
      </c>
      <c r="E34" s="41">
        <v>0.67</v>
      </c>
      <c r="F34" s="32">
        <v>90</v>
      </c>
      <c r="G34" s="32">
        <f t="shared" si="0"/>
        <v>60.300000000000004</v>
      </c>
    </row>
    <row r="35" spans="1:7" ht="14.25" customHeight="1" x14ac:dyDescent="0.3">
      <c r="A35" s="42"/>
      <c r="B35" s="43">
        <v>46129</v>
      </c>
      <c r="C35" s="44" t="s">
        <v>179</v>
      </c>
      <c r="D35" s="44" t="s">
        <v>178</v>
      </c>
      <c r="E35" s="45">
        <f>4.33-1.33</f>
        <v>3</v>
      </c>
      <c r="F35" s="31">
        <v>90</v>
      </c>
      <c r="G35" s="31">
        <f t="shared" si="0"/>
        <v>270</v>
      </c>
    </row>
    <row r="36" spans="1:7" ht="14.25" customHeight="1" x14ac:dyDescent="0.3">
      <c r="A36" s="38"/>
      <c r="B36" s="39">
        <v>46132</v>
      </c>
      <c r="C36" s="40" t="s">
        <v>177</v>
      </c>
      <c r="D36" s="40" t="s">
        <v>178</v>
      </c>
      <c r="E36" s="41">
        <v>2</v>
      </c>
      <c r="F36" s="32">
        <v>90</v>
      </c>
      <c r="G36" s="32">
        <f t="shared" ref="G36:G67" si="1">E36*F36</f>
        <v>180</v>
      </c>
    </row>
    <row r="37" spans="1:7" ht="14.25" customHeight="1" x14ac:dyDescent="0.3">
      <c r="A37" s="42"/>
      <c r="B37" s="43">
        <v>46132</v>
      </c>
      <c r="C37" s="44" t="s">
        <v>179</v>
      </c>
      <c r="D37" s="44" t="s">
        <v>178</v>
      </c>
      <c r="E37" s="45">
        <v>2</v>
      </c>
      <c r="F37" s="31">
        <v>90</v>
      </c>
      <c r="G37" s="31">
        <f t="shared" si="1"/>
        <v>180</v>
      </c>
    </row>
    <row r="38" spans="1:7" ht="14.25" customHeight="1" x14ac:dyDescent="0.3">
      <c r="A38" s="38"/>
      <c r="B38" s="39">
        <v>46134</v>
      </c>
      <c r="C38" s="40" t="s">
        <v>179</v>
      </c>
      <c r="D38" s="40" t="s">
        <v>178</v>
      </c>
      <c r="E38" s="41">
        <f>2.67-1.17</f>
        <v>1.5</v>
      </c>
      <c r="F38" s="32">
        <v>90</v>
      </c>
      <c r="G38" s="32">
        <f t="shared" si="1"/>
        <v>135</v>
      </c>
    </row>
    <row r="39" spans="1:7" ht="14.25" customHeight="1" x14ac:dyDescent="0.3">
      <c r="A39" s="42"/>
      <c r="B39" s="43">
        <v>46140</v>
      </c>
      <c r="C39" s="44" t="s">
        <v>179</v>
      </c>
      <c r="D39" s="44" t="s">
        <v>178</v>
      </c>
      <c r="E39" s="45">
        <v>2.08</v>
      </c>
      <c r="F39" s="31">
        <v>90</v>
      </c>
      <c r="G39" s="31">
        <f t="shared" si="1"/>
        <v>187.20000000000002</v>
      </c>
    </row>
    <row r="40" spans="1:7" ht="14.25" customHeight="1" x14ac:dyDescent="0.3">
      <c r="A40" s="38"/>
      <c r="B40" s="39">
        <v>46141</v>
      </c>
      <c r="C40" s="40" t="s">
        <v>179</v>
      </c>
      <c r="D40" s="40" t="s">
        <v>178</v>
      </c>
      <c r="E40" s="41">
        <v>2.25</v>
      </c>
      <c r="F40" s="32">
        <v>90</v>
      </c>
      <c r="G40" s="32">
        <f t="shared" si="1"/>
        <v>202.5</v>
      </c>
    </row>
    <row r="41" spans="1:7" ht="14.25" customHeight="1" x14ac:dyDescent="0.3">
      <c r="A41" s="42"/>
      <c r="B41" s="43">
        <v>46142</v>
      </c>
      <c r="C41" s="44" t="s">
        <v>179</v>
      </c>
      <c r="D41" s="44" t="s">
        <v>178</v>
      </c>
      <c r="E41" s="45">
        <f>2.33-1.17</f>
        <v>1.1600000000000001</v>
      </c>
      <c r="F41" s="31">
        <v>90</v>
      </c>
      <c r="G41" s="31">
        <f t="shared" si="1"/>
        <v>104.4</v>
      </c>
    </row>
    <row r="42" spans="1:7" ht="14.25" customHeight="1" x14ac:dyDescent="0.3">
      <c r="A42" s="38"/>
      <c r="B42" s="39">
        <v>46146</v>
      </c>
      <c r="C42" s="40" t="s">
        <v>179</v>
      </c>
      <c r="D42" s="40" t="s">
        <v>178</v>
      </c>
      <c r="E42" s="41">
        <v>1</v>
      </c>
      <c r="F42" s="32">
        <v>90</v>
      </c>
      <c r="G42" s="32">
        <f t="shared" si="1"/>
        <v>90</v>
      </c>
    </row>
    <row r="43" spans="1:7" ht="14.25" customHeight="1" x14ac:dyDescent="0.3">
      <c r="A43" s="42"/>
      <c r="B43" s="43">
        <v>46148</v>
      </c>
      <c r="C43" s="44" t="s">
        <v>179</v>
      </c>
      <c r="D43" s="44" t="s">
        <v>178</v>
      </c>
      <c r="E43" s="45">
        <v>0.67</v>
      </c>
      <c r="F43" s="31">
        <v>90</v>
      </c>
      <c r="G43" s="31">
        <f t="shared" si="1"/>
        <v>60.300000000000004</v>
      </c>
    </row>
    <row r="44" spans="1:7" ht="14.25" customHeight="1" x14ac:dyDescent="0.3">
      <c r="A44" s="38"/>
      <c r="B44" s="39">
        <v>46148</v>
      </c>
      <c r="C44" s="40" t="s">
        <v>179</v>
      </c>
      <c r="D44" s="40" t="s">
        <v>178</v>
      </c>
      <c r="E44" s="41">
        <v>0.41</v>
      </c>
      <c r="F44" s="32">
        <v>90</v>
      </c>
      <c r="G44" s="32">
        <f t="shared" si="1"/>
        <v>36.9</v>
      </c>
    </row>
    <row r="45" spans="1:7" ht="14.25" customHeight="1" x14ac:dyDescent="0.3">
      <c r="A45" s="42"/>
      <c r="B45" s="43">
        <v>46153</v>
      </c>
      <c r="C45" s="44" t="s">
        <v>179</v>
      </c>
      <c r="D45" s="44" t="s">
        <v>178</v>
      </c>
      <c r="E45" s="45">
        <v>1.58</v>
      </c>
      <c r="F45" s="31">
        <v>90</v>
      </c>
      <c r="G45" s="31">
        <f t="shared" si="1"/>
        <v>142.20000000000002</v>
      </c>
    </row>
    <row r="46" spans="1:7" ht="14.25" customHeight="1" x14ac:dyDescent="0.3">
      <c r="A46" s="38"/>
      <c r="B46" s="39">
        <v>46156</v>
      </c>
      <c r="C46" s="40" t="s">
        <v>179</v>
      </c>
      <c r="D46" s="40" t="s">
        <v>178</v>
      </c>
      <c r="E46" s="41">
        <v>1.83</v>
      </c>
      <c r="F46" s="32">
        <v>90</v>
      </c>
      <c r="G46" s="32">
        <f t="shared" si="1"/>
        <v>164.70000000000002</v>
      </c>
    </row>
    <row r="47" spans="1:7" ht="14.25" customHeight="1" x14ac:dyDescent="0.3">
      <c r="A47" s="42"/>
      <c r="B47" s="43">
        <v>46156</v>
      </c>
      <c r="C47" s="44" t="s">
        <v>179</v>
      </c>
      <c r="D47" s="44" t="s">
        <v>178</v>
      </c>
      <c r="E47" s="45">
        <v>0.57999999999999996</v>
      </c>
      <c r="F47" s="31">
        <v>90</v>
      </c>
      <c r="G47" s="31">
        <f t="shared" si="1"/>
        <v>52.199999999999996</v>
      </c>
    </row>
    <row r="48" spans="1:7" ht="14.25" customHeight="1" x14ac:dyDescent="0.3">
      <c r="A48" s="38"/>
      <c r="B48" s="39">
        <v>46161</v>
      </c>
      <c r="C48" s="40" t="s">
        <v>179</v>
      </c>
      <c r="D48" s="40" t="s">
        <v>178</v>
      </c>
      <c r="E48" s="41">
        <v>3.58</v>
      </c>
      <c r="F48" s="32">
        <v>90</v>
      </c>
      <c r="G48" s="32">
        <f t="shared" si="1"/>
        <v>322.2</v>
      </c>
    </row>
    <row r="49" spans="1:7" ht="14.25" customHeight="1" x14ac:dyDescent="0.3">
      <c r="A49" s="42"/>
      <c r="B49" s="43">
        <v>46163</v>
      </c>
      <c r="C49" s="44" t="s">
        <v>179</v>
      </c>
      <c r="D49" s="44" t="s">
        <v>178</v>
      </c>
      <c r="E49" s="45">
        <v>0.25</v>
      </c>
      <c r="F49" s="31">
        <v>90</v>
      </c>
      <c r="G49" s="31">
        <f t="shared" si="1"/>
        <v>22.5</v>
      </c>
    </row>
    <row r="50" spans="1:7" ht="14.25" customHeight="1" x14ac:dyDescent="0.3">
      <c r="A50" s="38"/>
      <c r="B50" s="39">
        <v>46163</v>
      </c>
      <c r="C50" s="40" t="s">
        <v>179</v>
      </c>
      <c r="D50" s="40" t="s">
        <v>178</v>
      </c>
      <c r="E50" s="41">
        <v>0.33</v>
      </c>
      <c r="F50" s="32">
        <v>90</v>
      </c>
      <c r="G50" s="32">
        <f t="shared" si="1"/>
        <v>29.700000000000003</v>
      </c>
    </row>
    <row r="51" spans="1:7" ht="14.25" customHeight="1" x14ac:dyDescent="0.3">
      <c r="A51" s="42"/>
      <c r="B51" s="43">
        <v>46167</v>
      </c>
      <c r="C51" s="44" t="s">
        <v>179</v>
      </c>
      <c r="D51" s="44" t="s">
        <v>178</v>
      </c>
      <c r="E51" s="45">
        <v>1.08</v>
      </c>
      <c r="F51" s="31">
        <v>90</v>
      </c>
      <c r="G51" s="31">
        <f t="shared" si="1"/>
        <v>97.2</v>
      </c>
    </row>
    <row r="52" spans="1:7" ht="14.25" customHeight="1" x14ac:dyDescent="0.3">
      <c r="A52" s="38"/>
      <c r="B52" s="39">
        <v>46170</v>
      </c>
      <c r="C52" s="40" t="s">
        <v>177</v>
      </c>
      <c r="D52" s="40" t="s">
        <v>178</v>
      </c>
      <c r="E52" s="41">
        <v>3</v>
      </c>
      <c r="F52" s="32">
        <v>90</v>
      </c>
      <c r="G52" s="32">
        <f t="shared" si="1"/>
        <v>270</v>
      </c>
    </row>
    <row r="53" spans="1:7" ht="14.25" customHeight="1" x14ac:dyDescent="0.3">
      <c r="A53" s="42"/>
      <c r="B53" s="43">
        <v>46170</v>
      </c>
      <c r="C53" s="44" t="s">
        <v>179</v>
      </c>
      <c r="D53" s="44" t="s">
        <v>178</v>
      </c>
      <c r="E53" s="45">
        <v>2.91</v>
      </c>
      <c r="F53" s="31">
        <v>90</v>
      </c>
      <c r="G53" s="31">
        <f t="shared" si="1"/>
        <v>261.90000000000003</v>
      </c>
    </row>
    <row r="54" spans="1:7" ht="14.25" customHeight="1" x14ac:dyDescent="0.3">
      <c r="A54" s="38"/>
      <c r="B54" s="39">
        <v>46175</v>
      </c>
      <c r="C54" s="40" t="s">
        <v>179</v>
      </c>
      <c r="D54" s="40" t="s">
        <v>178</v>
      </c>
      <c r="E54" s="41">
        <v>0.83</v>
      </c>
      <c r="F54" s="32">
        <v>90</v>
      </c>
      <c r="G54" s="32">
        <f t="shared" si="1"/>
        <v>74.7</v>
      </c>
    </row>
    <row r="55" spans="1:7" ht="14.25" customHeight="1" x14ac:dyDescent="0.3">
      <c r="A55" s="42"/>
      <c r="B55" s="43">
        <v>46176</v>
      </c>
      <c r="C55" s="44" t="s">
        <v>179</v>
      </c>
      <c r="D55" s="44" t="s">
        <v>178</v>
      </c>
      <c r="E55" s="45">
        <v>2.16</v>
      </c>
      <c r="F55" s="31">
        <v>90</v>
      </c>
      <c r="G55" s="31">
        <f t="shared" si="1"/>
        <v>194.4</v>
      </c>
    </row>
    <row r="56" spans="1:7" ht="14.25" customHeight="1" x14ac:dyDescent="0.3">
      <c r="A56" s="38"/>
      <c r="B56" s="39">
        <v>46177</v>
      </c>
      <c r="C56" s="40" t="s">
        <v>179</v>
      </c>
      <c r="D56" s="40" t="s">
        <v>178</v>
      </c>
      <c r="E56" s="41">
        <v>1.42</v>
      </c>
      <c r="F56" s="32">
        <v>90</v>
      </c>
      <c r="G56" s="32">
        <f t="shared" si="1"/>
        <v>127.8</v>
      </c>
    </row>
    <row r="57" spans="1:7" ht="14.25" customHeight="1" x14ac:dyDescent="0.3">
      <c r="A57" s="42"/>
      <c r="B57" s="43">
        <v>46181</v>
      </c>
      <c r="C57" s="44" t="s">
        <v>179</v>
      </c>
      <c r="D57" s="44" t="s">
        <v>178</v>
      </c>
      <c r="E57" s="45">
        <v>2.25</v>
      </c>
      <c r="F57" s="31">
        <v>90</v>
      </c>
      <c r="G57" s="31">
        <f t="shared" si="1"/>
        <v>202.5</v>
      </c>
    </row>
    <row r="58" spans="1:7" ht="14.25" customHeight="1" x14ac:dyDescent="0.3">
      <c r="A58" s="38"/>
      <c r="B58" s="39">
        <v>46181</v>
      </c>
      <c r="C58" s="40" t="s">
        <v>179</v>
      </c>
      <c r="D58" s="40" t="s">
        <v>178</v>
      </c>
      <c r="E58" s="41">
        <v>0.83</v>
      </c>
      <c r="F58" s="32">
        <v>90</v>
      </c>
      <c r="G58" s="32">
        <f t="shared" si="1"/>
        <v>74.7</v>
      </c>
    </row>
    <row r="59" spans="1:7" ht="14.25" customHeight="1" x14ac:dyDescent="0.3">
      <c r="A59" s="42"/>
      <c r="B59" s="43">
        <v>46182</v>
      </c>
      <c r="C59" s="44" t="s">
        <v>179</v>
      </c>
      <c r="D59" s="44" t="s">
        <v>178</v>
      </c>
      <c r="E59" s="45">
        <v>1.25</v>
      </c>
      <c r="F59" s="31">
        <v>90</v>
      </c>
      <c r="G59" s="31">
        <f t="shared" si="1"/>
        <v>112.5</v>
      </c>
    </row>
    <row r="60" spans="1:7" ht="14.25" customHeight="1" x14ac:dyDescent="0.3">
      <c r="A60" s="38"/>
      <c r="B60" s="39">
        <v>46184</v>
      </c>
      <c r="C60" s="40" t="s">
        <v>179</v>
      </c>
      <c r="D60" s="40" t="s">
        <v>178</v>
      </c>
      <c r="E60" s="41">
        <v>0.75</v>
      </c>
      <c r="F60" s="32">
        <v>90</v>
      </c>
      <c r="G60" s="32">
        <f t="shared" si="1"/>
        <v>67.5</v>
      </c>
    </row>
    <row r="61" spans="1:7" ht="14.25" customHeight="1" x14ac:dyDescent="0.3">
      <c r="A61" s="42"/>
      <c r="B61" s="43">
        <v>46184</v>
      </c>
      <c r="C61" s="44" t="s">
        <v>179</v>
      </c>
      <c r="D61" s="44" t="s">
        <v>178</v>
      </c>
      <c r="E61" s="45">
        <v>0.91</v>
      </c>
      <c r="F61" s="31">
        <v>90</v>
      </c>
      <c r="G61" s="31">
        <f t="shared" si="1"/>
        <v>81.900000000000006</v>
      </c>
    </row>
    <row r="62" spans="1:7" ht="14.25" customHeight="1" x14ac:dyDescent="0.3">
      <c r="A62" s="38"/>
      <c r="B62" s="39">
        <v>46189</v>
      </c>
      <c r="C62" s="40" t="s">
        <v>179</v>
      </c>
      <c r="D62" s="40" t="s">
        <v>178</v>
      </c>
      <c r="E62" s="41">
        <v>1.58</v>
      </c>
      <c r="F62" s="32">
        <v>90</v>
      </c>
      <c r="G62" s="32">
        <f t="shared" si="1"/>
        <v>142.20000000000002</v>
      </c>
    </row>
    <row r="63" spans="1:7" ht="14.25" customHeight="1" x14ac:dyDescent="0.3">
      <c r="A63" s="42"/>
      <c r="B63" s="43">
        <v>46190</v>
      </c>
      <c r="C63" s="44" t="s">
        <v>179</v>
      </c>
      <c r="D63" s="44" t="s">
        <v>178</v>
      </c>
      <c r="E63" s="45">
        <v>0.57999999999999996</v>
      </c>
      <c r="F63" s="31">
        <v>90</v>
      </c>
      <c r="G63" s="31">
        <f t="shared" si="1"/>
        <v>52.199999999999996</v>
      </c>
    </row>
    <row r="64" spans="1:7" ht="14.25" customHeight="1" x14ac:dyDescent="0.3">
      <c r="A64" s="38"/>
      <c r="B64" s="39">
        <v>46191</v>
      </c>
      <c r="C64" s="40" t="s">
        <v>179</v>
      </c>
      <c r="D64" s="40" t="s">
        <v>178</v>
      </c>
      <c r="E64" s="41">
        <v>1.41</v>
      </c>
      <c r="F64" s="32">
        <v>90</v>
      </c>
      <c r="G64" s="32">
        <f t="shared" si="1"/>
        <v>126.89999999999999</v>
      </c>
    </row>
    <row r="65" spans="1:7" ht="14.25" customHeight="1" x14ac:dyDescent="0.3">
      <c r="A65" s="42"/>
      <c r="B65" s="43">
        <v>46192</v>
      </c>
      <c r="C65" s="44" t="s">
        <v>179</v>
      </c>
      <c r="D65" s="44" t="s">
        <v>178</v>
      </c>
      <c r="E65" s="45">
        <v>1.08</v>
      </c>
      <c r="F65" s="31">
        <v>90</v>
      </c>
      <c r="G65" s="31">
        <f t="shared" si="1"/>
        <v>97.2</v>
      </c>
    </row>
    <row r="66" spans="1:7" ht="14.25" customHeight="1" x14ac:dyDescent="0.3">
      <c r="A66" s="38"/>
      <c r="B66" s="39">
        <v>46195</v>
      </c>
      <c r="C66" s="40" t="s">
        <v>179</v>
      </c>
      <c r="D66" s="40" t="s">
        <v>178</v>
      </c>
      <c r="E66" s="41">
        <v>0.42</v>
      </c>
      <c r="F66" s="32">
        <v>90</v>
      </c>
      <c r="G66" s="32">
        <f t="shared" si="1"/>
        <v>37.799999999999997</v>
      </c>
    </row>
    <row r="67" spans="1:7" ht="14.25" customHeight="1" x14ac:dyDescent="0.3">
      <c r="A67" s="42"/>
      <c r="B67" s="43">
        <v>46195</v>
      </c>
      <c r="C67" s="44" t="s">
        <v>179</v>
      </c>
      <c r="D67" s="44" t="s">
        <v>178</v>
      </c>
      <c r="E67" s="45">
        <v>2.5</v>
      </c>
      <c r="F67" s="31">
        <v>90</v>
      </c>
      <c r="G67" s="31">
        <f t="shared" si="1"/>
        <v>225</v>
      </c>
    </row>
    <row r="68" spans="1:7" ht="14.25" customHeight="1" x14ac:dyDescent="0.3">
      <c r="A68" s="38"/>
      <c r="B68" s="39">
        <v>46196</v>
      </c>
      <c r="C68" s="40" t="s">
        <v>179</v>
      </c>
      <c r="D68" s="40" t="s">
        <v>178</v>
      </c>
      <c r="E68" s="41">
        <v>2.66</v>
      </c>
      <c r="F68" s="32">
        <v>90</v>
      </c>
      <c r="G68" s="32">
        <f t="shared" ref="G68:G70" si="2">E68*F68</f>
        <v>239.4</v>
      </c>
    </row>
    <row r="69" spans="1:7" ht="15" customHeight="1" x14ac:dyDescent="0.3">
      <c r="A69" s="42"/>
      <c r="B69" s="43">
        <v>46196</v>
      </c>
      <c r="C69" s="44" t="s">
        <v>179</v>
      </c>
      <c r="D69" s="44" t="s">
        <v>178</v>
      </c>
      <c r="E69" s="50">
        <v>0.25</v>
      </c>
      <c r="F69" s="29">
        <v>90</v>
      </c>
      <c r="G69" s="29">
        <f t="shared" si="2"/>
        <v>22.5</v>
      </c>
    </row>
    <row r="70" spans="1:7" ht="15" customHeight="1" thickBot="1" x14ac:dyDescent="0.35">
      <c r="A70" s="38"/>
      <c r="B70" s="39">
        <v>46202</v>
      </c>
      <c r="C70" s="40" t="s">
        <v>177</v>
      </c>
      <c r="D70" s="49" t="s">
        <v>178</v>
      </c>
      <c r="E70" s="53">
        <v>1.83</v>
      </c>
      <c r="F70" s="30">
        <v>90</v>
      </c>
      <c r="G70" s="30">
        <f t="shared" si="2"/>
        <v>164.70000000000002</v>
      </c>
    </row>
    <row r="71" spans="1:7" ht="15" customHeight="1" x14ac:dyDescent="0.3">
      <c r="A71" s="34" t="s">
        <v>182</v>
      </c>
      <c r="B71" s="46"/>
      <c r="C71" s="34"/>
      <c r="D71" s="33"/>
      <c r="E71" s="54">
        <f>SUM(E4:E70)</f>
        <v>153.11000000000004</v>
      </c>
      <c r="F71" s="55"/>
      <c r="G71" s="55">
        <f>SUM(G4:G70)</f>
        <v>13779.900000000003</v>
      </c>
    </row>
    <row r="72" spans="1:7" ht="15" customHeight="1" x14ac:dyDescent="0.3">
      <c r="A72" s="34" t="s">
        <v>183</v>
      </c>
      <c r="B72" s="35"/>
      <c r="C72" s="36"/>
      <c r="D72" s="36"/>
      <c r="E72" s="51"/>
      <c r="F72" s="52"/>
      <c r="G72" s="52"/>
    </row>
    <row r="73" spans="1:7" ht="15" customHeight="1" x14ac:dyDescent="0.3">
      <c r="A73" s="38"/>
      <c r="B73" s="39">
        <v>46129</v>
      </c>
      <c r="C73" s="40" t="s">
        <v>179</v>
      </c>
      <c r="D73" s="40" t="s">
        <v>178</v>
      </c>
      <c r="E73" s="41">
        <v>1.33</v>
      </c>
      <c r="F73" s="32">
        <v>90</v>
      </c>
      <c r="G73" s="32">
        <f t="shared" ref="G73:G90" si="3">E73*F73</f>
        <v>119.7</v>
      </c>
    </row>
    <row r="74" spans="1:7" ht="15" customHeight="1" x14ac:dyDescent="0.3">
      <c r="A74" s="42"/>
      <c r="B74" s="43">
        <v>46132</v>
      </c>
      <c r="C74" s="44" t="s">
        <v>179</v>
      </c>
      <c r="D74" s="44" t="s">
        <v>178</v>
      </c>
      <c r="E74" s="45">
        <v>1.17</v>
      </c>
      <c r="F74" s="31">
        <v>90</v>
      </c>
      <c r="G74" s="31">
        <f t="shared" si="3"/>
        <v>105.3</v>
      </c>
    </row>
    <row r="75" spans="1:7" ht="15" customHeight="1" x14ac:dyDescent="0.3">
      <c r="A75" s="38"/>
      <c r="B75" s="39">
        <v>46134</v>
      </c>
      <c r="C75" s="40" t="s">
        <v>179</v>
      </c>
      <c r="D75" s="40" t="s">
        <v>178</v>
      </c>
      <c r="E75" s="41">
        <v>1.17</v>
      </c>
      <c r="F75" s="32">
        <v>90</v>
      </c>
      <c r="G75" s="32">
        <f t="shared" si="3"/>
        <v>105.3</v>
      </c>
    </row>
    <row r="76" spans="1:7" ht="15" customHeight="1" x14ac:dyDescent="0.3">
      <c r="A76" s="42"/>
      <c r="B76" s="43">
        <v>46142</v>
      </c>
      <c r="C76" s="44" t="s">
        <v>179</v>
      </c>
      <c r="D76" s="44" t="s">
        <v>178</v>
      </c>
      <c r="E76" s="45">
        <v>1.17</v>
      </c>
      <c r="F76" s="31">
        <v>90</v>
      </c>
      <c r="G76" s="31">
        <f t="shared" si="3"/>
        <v>105.3</v>
      </c>
    </row>
    <row r="77" spans="1:7" ht="15" customHeight="1" x14ac:dyDescent="0.3">
      <c r="A77" s="38"/>
      <c r="B77" s="39">
        <v>46148</v>
      </c>
      <c r="C77" s="40" t="s">
        <v>179</v>
      </c>
      <c r="D77" s="40" t="s">
        <v>178</v>
      </c>
      <c r="E77" s="41">
        <v>1.17</v>
      </c>
      <c r="F77" s="32">
        <v>90</v>
      </c>
      <c r="G77" s="32">
        <f t="shared" si="3"/>
        <v>105.3</v>
      </c>
    </row>
    <row r="78" spans="1:7" ht="15" customHeight="1" x14ac:dyDescent="0.3">
      <c r="A78" s="42"/>
      <c r="B78" s="43">
        <v>46153</v>
      </c>
      <c r="C78" s="44" t="s">
        <v>179</v>
      </c>
      <c r="D78" s="44" t="s">
        <v>178</v>
      </c>
      <c r="E78" s="45">
        <v>1.17</v>
      </c>
      <c r="F78" s="31">
        <v>90</v>
      </c>
      <c r="G78" s="31">
        <f t="shared" si="3"/>
        <v>105.3</v>
      </c>
    </row>
    <row r="79" spans="1:7" ht="15" customHeight="1" x14ac:dyDescent="0.3">
      <c r="A79" s="38"/>
      <c r="B79" s="39">
        <v>46156</v>
      </c>
      <c r="C79" s="40" t="s">
        <v>179</v>
      </c>
      <c r="D79" s="40" t="s">
        <v>178</v>
      </c>
      <c r="E79" s="41">
        <v>1.17</v>
      </c>
      <c r="F79" s="32">
        <v>90</v>
      </c>
      <c r="G79" s="32">
        <f t="shared" si="3"/>
        <v>105.3</v>
      </c>
    </row>
    <row r="80" spans="1:7" ht="15" customHeight="1" x14ac:dyDescent="0.3">
      <c r="A80" s="42"/>
      <c r="B80" s="43">
        <v>46161</v>
      </c>
      <c r="C80" s="44" t="s">
        <v>179</v>
      </c>
      <c r="D80" s="44" t="s">
        <v>178</v>
      </c>
      <c r="E80" s="45">
        <v>1.17</v>
      </c>
      <c r="F80" s="31">
        <v>90</v>
      </c>
      <c r="G80" s="31">
        <f t="shared" si="3"/>
        <v>105.3</v>
      </c>
    </row>
    <row r="81" spans="1:7" ht="15" customHeight="1" x14ac:dyDescent="0.3">
      <c r="A81" s="38"/>
      <c r="B81" s="39">
        <v>46163</v>
      </c>
      <c r="C81" s="40" t="s">
        <v>179</v>
      </c>
      <c r="D81" s="40" t="s">
        <v>178</v>
      </c>
      <c r="E81" s="41">
        <v>1.17</v>
      </c>
      <c r="F81" s="32">
        <v>90</v>
      </c>
      <c r="G81" s="32">
        <f t="shared" si="3"/>
        <v>105.3</v>
      </c>
    </row>
    <row r="82" spans="1:7" ht="15" customHeight="1" x14ac:dyDescent="0.3">
      <c r="A82" s="42"/>
      <c r="B82" s="43">
        <v>46167</v>
      </c>
      <c r="C82" s="44" t="s">
        <v>179</v>
      </c>
      <c r="D82" s="44" t="s">
        <v>178</v>
      </c>
      <c r="E82" s="45">
        <v>1.17</v>
      </c>
      <c r="F82" s="31">
        <v>90</v>
      </c>
      <c r="G82" s="31">
        <f t="shared" si="3"/>
        <v>105.3</v>
      </c>
    </row>
    <row r="83" spans="1:7" ht="15" customHeight="1" x14ac:dyDescent="0.3">
      <c r="A83" s="38"/>
      <c r="B83" s="39">
        <v>46170</v>
      </c>
      <c r="C83" s="40" t="s">
        <v>179</v>
      </c>
      <c r="D83" s="40" t="s">
        <v>178</v>
      </c>
      <c r="E83" s="41">
        <v>1.17</v>
      </c>
      <c r="F83" s="32">
        <v>90</v>
      </c>
      <c r="G83" s="32">
        <f t="shared" si="3"/>
        <v>105.3</v>
      </c>
    </row>
    <row r="84" spans="1:7" ht="15" customHeight="1" x14ac:dyDescent="0.3">
      <c r="A84" s="42"/>
      <c r="B84" s="43">
        <v>46175</v>
      </c>
      <c r="C84" s="44" t="s">
        <v>179</v>
      </c>
      <c r="D84" s="44" t="s">
        <v>178</v>
      </c>
      <c r="E84" s="45">
        <v>1.17</v>
      </c>
      <c r="F84" s="31">
        <v>90</v>
      </c>
      <c r="G84" s="31">
        <f t="shared" si="3"/>
        <v>105.3</v>
      </c>
    </row>
    <row r="85" spans="1:7" ht="15" customHeight="1" x14ac:dyDescent="0.3">
      <c r="A85" s="38"/>
      <c r="B85" s="39">
        <v>46176</v>
      </c>
      <c r="C85" s="40" t="s">
        <v>179</v>
      </c>
      <c r="D85" s="40" t="s">
        <v>178</v>
      </c>
      <c r="E85" s="41">
        <v>1.17</v>
      </c>
      <c r="F85" s="32">
        <v>90</v>
      </c>
      <c r="G85" s="32">
        <f t="shared" si="3"/>
        <v>105.3</v>
      </c>
    </row>
    <row r="86" spans="1:7" ht="15" customHeight="1" x14ac:dyDescent="0.3">
      <c r="A86" s="42"/>
      <c r="B86" s="43">
        <v>46181</v>
      </c>
      <c r="C86" s="44" t="s">
        <v>179</v>
      </c>
      <c r="D86" s="44" t="s">
        <v>178</v>
      </c>
      <c r="E86" s="45">
        <v>1.17</v>
      </c>
      <c r="F86" s="31">
        <v>90</v>
      </c>
      <c r="G86" s="31">
        <f t="shared" si="3"/>
        <v>105.3</v>
      </c>
    </row>
    <row r="87" spans="1:7" ht="15" customHeight="1" x14ac:dyDescent="0.3">
      <c r="A87" s="38"/>
      <c r="B87" s="39">
        <v>46184</v>
      </c>
      <c r="C87" s="40" t="s">
        <v>179</v>
      </c>
      <c r="D87" s="40" t="s">
        <v>178</v>
      </c>
      <c r="E87" s="41">
        <v>1.17</v>
      </c>
      <c r="F87" s="32">
        <v>90</v>
      </c>
      <c r="G87" s="32">
        <f t="shared" si="3"/>
        <v>105.3</v>
      </c>
    </row>
    <row r="88" spans="1:7" ht="15" customHeight="1" x14ac:dyDescent="0.3">
      <c r="A88" s="42"/>
      <c r="B88" s="43">
        <v>46191</v>
      </c>
      <c r="C88" s="44" t="s">
        <v>179</v>
      </c>
      <c r="D88" s="44" t="s">
        <v>178</v>
      </c>
      <c r="E88" s="45">
        <v>1.17</v>
      </c>
      <c r="F88" s="31">
        <v>90</v>
      </c>
      <c r="G88" s="31">
        <f t="shared" si="3"/>
        <v>105.3</v>
      </c>
    </row>
    <row r="89" spans="1:7" ht="15" customHeight="1" x14ac:dyDescent="0.3">
      <c r="A89" s="38"/>
      <c r="B89" s="39">
        <v>46196</v>
      </c>
      <c r="C89" s="40" t="s">
        <v>179</v>
      </c>
      <c r="D89" s="40" t="s">
        <v>178</v>
      </c>
      <c r="E89" s="53">
        <v>1.17</v>
      </c>
      <c r="F89" s="30">
        <v>90</v>
      </c>
      <c r="G89" s="30">
        <f t="shared" si="3"/>
        <v>105.3</v>
      </c>
    </row>
    <row r="90" spans="1:7" ht="15" customHeight="1" thickBot="1" x14ac:dyDescent="0.35">
      <c r="A90" s="42"/>
      <c r="B90" s="43">
        <v>46202</v>
      </c>
      <c r="C90" s="44" t="s">
        <v>177</v>
      </c>
      <c r="D90" s="56" t="s">
        <v>178</v>
      </c>
      <c r="E90" s="50">
        <v>1.17</v>
      </c>
      <c r="F90" s="29">
        <v>90</v>
      </c>
      <c r="G90" s="29">
        <f t="shared" si="3"/>
        <v>105.3</v>
      </c>
    </row>
    <row r="91" spans="1:7" ht="15" customHeight="1" x14ac:dyDescent="0.3">
      <c r="A91" s="34" t="s">
        <v>266</v>
      </c>
      <c r="B91" s="46"/>
      <c r="C91" s="34"/>
      <c r="D91" s="33"/>
      <c r="E91" s="54">
        <f>SUM(E73:E90)</f>
        <v>21.220000000000006</v>
      </c>
      <c r="F91" s="55"/>
      <c r="G91" s="55">
        <f>SUM(G73:G90)</f>
        <v>1909.7999999999995</v>
      </c>
    </row>
    <row r="92" spans="1:7" ht="15" customHeight="1" x14ac:dyDescent="0.3">
      <c r="A92" s="34" t="s">
        <v>321</v>
      </c>
      <c r="B92" s="35"/>
      <c r="C92" s="36"/>
      <c r="D92" s="36"/>
      <c r="E92" s="51"/>
      <c r="F92" s="52"/>
      <c r="G92" s="52"/>
    </row>
    <row r="93" spans="1:7" ht="15" customHeight="1" x14ac:dyDescent="0.3">
      <c r="A93" s="38"/>
      <c r="B93" s="39">
        <v>46191</v>
      </c>
      <c r="C93" s="40" t="s">
        <v>314</v>
      </c>
      <c r="D93" s="40" t="s">
        <v>178</v>
      </c>
      <c r="E93" s="41">
        <v>3.58</v>
      </c>
      <c r="F93" s="32">
        <v>55</v>
      </c>
      <c r="G93" s="32">
        <f>E93*F93</f>
        <v>196.9</v>
      </c>
    </row>
    <row r="94" spans="1:7" ht="15" customHeight="1" x14ac:dyDescent="0.3">
      <c r="A94" s="42"/>
      <c r="B94" s="43">
        <v>46191</v>
      </c>
      <c r="C94" s="44" t="s">
        <v>315</v>
      </c>
      <c r="D94" s="44" t="s">
        <v>178</v>
      </c>
      <c r="E94" s="45">
        <v>7.5</v>
      </c>
      <c r="F94" s="31">
        <v>55</v>
      </c>
      <c r="G94" s="31">
        <f>E94*F94</f>
        <v>412.5</v>
      </c>
    </row>
    <row r="95" spans="1:7" ht="15" customHeight="1" x14ac:dyDescent="0.3">
      <c r="A95" s="38"/>
      <c r="B95" s="39">
        <v>46197</v>
      </c>
      <c r="C95" s="40" t="s">
        <v>315</v>
      </c>
      <c r="D95" s="40" t="s">
        <v>178</v>
      </c>
      <c r="E95" s="53">
        <v>2</v>
      </c>
      <c r="F95" s="30">
        <v>55</v>
      </c>
      <c r="G95" s="30">
        <f>E95*F95</f>
        <v>110</v>
      </c>
    </row>
    <row r="96" spans="1:7" ht="15" customHeight="1" thickBot="1" x14ac:dyDescent="0.35">
      <c r="A96" s="42"/>
      <c r="B96" s="43">
        <v>46199</v>
      </c>
      <c r="C96" s="44" t="s">
        <v>315</v>
      </c>
      <c r="D96" s="56" t="s">
        <v>178</v>
      </c>
      <c r="E96" s="50">
        <v>1.58</v>
      </c>
      <c r="F96" s="29">
        <v>55</v>
      </c>
      <c r="G96" s="29">
        <f>E96*F96</f>
        <v>86.9</v>
      </c>
    </row>
    <row r="97" spans="1:7" ht="15" customHeight="1" x14ac:dyDescent="0.3">
      <c r="A97" s="34" t="s">
        <v>322</v>
      </c>
      <c r="B97" s="46"/>
      <c r="C97" s="34"/>
      <c r="D97" s="33"/>
      <c r="E97" s="54">
        <f>SUM(E93:E96)</f>
        <v>14.66</v>
      </c>
      <c r="F97" s="55"/>
      <c r="G97" s="55">
        <f>SUM(G93:G96)</f>
        <v>806.3</v>
      </c>
    </row>
    <row r="98" spans="1:7" ht="15" customHeight="1" x14ac:dyDescent="0.3">
      <c r="A98" s="34" t="s">
        <v>323</v>
      </c>
      <c r="B98" s="35"/>
      <c r="C98" s="36"/>
      <c r="D98" s="36"/>
      <c r="E98" s="51"/>
      <c r="F98" s="52"/>
      <c r="G98" s="52"/>
    </row>
    <row r="99" spans="1:7" ht="15" customHeight="1" x14ac:dyDescent="0.3">
      <c r="A99" s="38"/>
      <c r="B99" s="39">
        <v>46196</v>
      </c>
      <c r="C99" s="40" t="s">
        <v>315</v>
      </c>
      <c r="D99" s="40" t="s">
        <v>178</v>
      </c>
      <c r="E99" s="41">
        <v>4.33</v>
      </c>
      <c r="F99" s="32">
        <v>55</v>
      </c>
      <c r="G99" s="32">
        <f>E99*F99</f>
        <v>238.15</v>
      </c>
    </row>
    <row r="100" spans="1:7" ht="15" customHeight="1" x14ac:dyDescent="0.3">
      <c r="A100" s="42"/>
      <c r="B100" s="43">
        <v>46196</v>
      </c>
      <c r="C100" s="44" t="s">
        <v>315</v>
      </c>
      <c r="D100" s="44" t="s">
        <v>178</v>
      </c>
      <c r="E100" s="45">
        <v>4.17</v>
      </c>
      <c r="F100" s="31">
        <v>55</v>
      </c>
      <c r="G100" s="31">
        <f>E100*F100</f>
        <v>229.35</v>
      </c>
    </row>
    <row r="101" spans="1:7" ht="15" customHeight="1" x14ac:dyDescent="0.3">
      <c r="A101" s="38"/>
      <c r="B101" s="39">
        <v>46197</v>
      </c>
      <c r="C101" s="40" t="s">
        <v>315</v>
      </c>
      <c r="D101" s="40" t="s">
        <v>178</v>
      </c>
      <c r="E101" s="53">
        <v>0.33</v>
      </c>
      <c r="F101" s="30">
        <v>55</v>
      </c>
      <c r="G101" s="30">
        <f>E101*F101</f>
        <v>18.150000000000002</v>
      </c>
    </row>
    <row r="102" spans="1:7" ht="15" customHeight="1" thickBot="1" x14ac:dyDescent="0.35">
      <c r="A102" s="42"/>
      <c r="B102" s="43">
        <v>46197</v>
      </c>
      <c r="C102" s="44" t="s">
        <v>315</v>
      </c>
      <c r="D102" s="56" t="s">
        <v>178</v>
      </c>
      <c r="E102" s="50">
        <v>3.08</v>
      </c>
      <c r="F102" s="29">
        <v>55</v>
      </c>
      <c r="G102" s="29">
        <f>E102*F102</f>
        <v>169.4</v>
      </c>
    </row>
    <row r="103" spans="1:7" ht="15" customHeight="1" x14ac:dyDescent="0.3">
      <c r="A103" s="34" t="s">
        <v>324</v>
      </c>
      <c r="B103" s="46"/>
      <c r="C103" s="34"/>
      <c r="D103" s="33"/>
      <c r="E103" s="54">
        <f>SUM(E99:E102)</f>
        <v>11.91</v>
      </c>
      <c r="F103" s="55"/>
      <c r="G103" s="55">
        <f>SUM(G99:G102)</f>
        <v>655.04999999999995</v>
      </c>
    </row>
    <row r="104" spans="1:7" ht="15" customHeight="1" x14ac:dyDescent="0.3">
      <c r="A104" s="47" t="s">
        <v>184</v>
      </c>
      <c r="B104" s="48"/>
      <c r="C104" s="47"/>
      <c r="D104" s="47"/>
      <c r="E104" s="57">
        <f>E71+E91+E97+E103</f>
        <v>200.90000000000003</v>
      </c>
      <c r="F104" s="58"/>
      <c r="G104" s="58">
        <f>G71+G91+G97+G103</f>
        <v>17151.050000000003</v>
      </c>
    </row>
  </sheetData>
  <pageMargins left="0.14000000000000001" right="0.08" top="0.13" bottom="0.39" header="0" footer="0"/>
  <pageSetup orientation="landscape" r:id="rId1"/>
  <headerFoot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EC37-35FD-42D9-8975-D58641469315}">
  <dimension ref="A1:Z100"/>
  <sheetViews>
    <sheetView tabSelected="1" topLeftCell="A5" zoomScale="85" zoomScaleNormal="85" workbookViewId="0">
      <selection activeCell="F8" sqref="F8"/>
    </sheetView>
  </sheetViews>
  <sheetFormatPr defaultColWidth="14.44140625" defaultRowHeight="15" customHeight="1" x14ac:dyDescent="0.3"/>
  <cols>
    <col min="1" max="1" width="48" style="60" bestFit="1" customWidth="1"/>
    <col min="2" max="2" width="20" style="60" customWidth="1"/>
    <col min="3" max="3" width="15.33203125" style="60" customWidth="1"/>
    <col min="4" max="4" width="20" style="60" customWidth="1"/>
    <col min="5" max="5" width="64.6640625" style="60" customWidth="1"/>
    <col min="6" max="6" width="18.109375" style="60" customWidth="1"/>
    <col min="7" max="7" width="16.33203125" style="60" customWidth="1"/>
    <col min="8" max="26" width="8.6640625" style="60" customWidth="1"/>
    <col min="27" max="16384" width="14.44140625" style="60"/>
  </cols>
  <sheetData>
    <row r="1" spans="1:6" ht="15" customHeight="1" x14ac:dyDescent="0.3">
      <c r="A1" s="59"/>
      <c r="B1" s="59"/>
      <c r="C1" s="59"/>
      <c r="D1" s="59"/>
      <c r="E1" s="59"/>
      <c r="F1" s="59"/>
    </row>
    <row r="2" spans="1:6" ht="27.75" customHeight="1" x14ac:dyDescent="0.3">
      <c r="A2" s="61" t="s">
        <v>0</v>
      </c>
      <c r="B2" s="61" t="s">
        <v>185</v>
      </c>
      <c r="C2" s="61" t="s">
        <v>170</v>
      </c>
      <c r="D2" s="61" t="s">
        <v>186</v>
      </c>
      <c r="E2" s="61" t="s">
        <v>187</v>
      </c>
      <c r="F2" s="61" t="s">
        <v>175</v>
      </c>
    </row>
    <row r="3" spans="1:6" ht="14.25" customHeight="1" x14ac:dyDescent="0.3">
      <c r="A3" s="69" t="s">
        <v>221</v>
      </c>
      <c r="B3" s="70"/>
      <c r="C3" s="71"/>
      <c r="D3" s="70"/>
      <c r="E3" s="69"/>
      <c r="F3" s="72"/>
    </row>
    <row r="4" spans="1:6" ht="14.25" customHeight="1" x14ac:dyDescent="0.3">
      <c r="A4" s="73"/>
      <c r="B4" s="74" t="s">
        <v>189</v>
      </c>
      <c r="C4" s="75">
        <v>46169</v>
      </c>
      <c r="D4" s="74">
        <v>11561</v>
      </c>
      <c r="E4" s="73" t="s">
        <v>222</v>
      </c>
      <c r="F4" s="76">
        <v>2735.6</v>
      </c>
    </row>
    <row r="5" spans="1:6" ht="14.25" customHeight="1" x14ac:dyDescent="0.3">
      <c r="A5" s="69" t="s">
        <v>223</v>
      </c>
      <c r="B5" s="74"/>
      <c r="C5" s="75"/>
      <c r="D5" s="74"/>
      <c r="E5" s="73"/>
      <c r="F5" s="72">
        <f>SUM(F4)</f>
        <v>2735.6</v>
      </c>
    </row>
    <row r="6" spans="1:6" ht="14.25" customHeight="1" x14ac:dyDescent="0.3">
      <c r="A6" s="69" t="s">
        <v>267</v>
      </c>
      <c r="B6" s="74"/>
      <c r="C6" s="75"/>
      <c r="D6" s="74"/>
      <c r="E6" s="73"/>
      <c r="F6" s="76"/>
    </row>
    <row r="7" spans="1:6" ht="14.25" customHeight="1" x14ac:dyDescent="0.3">
      <c r="A7" s="73"/>
      <c r="B7" s="74" t="s">
        <v>189</v>
      </c>
      <c r="C7" s="75">
        <v>46192</v>
      </c>
      <c r="D7" s="74">
        <v>3247</v>
      </c>
      <c r="E7" s="73" t="s">
        <v>268</v>
      </c>
      <c r="F7" s="76">
        <v>2520.41</v>
      </c>
    </row>
    <row r="8" spans="1:6" ht="14.25" customHeight="1" x14ac:dyDescent="0.3">
      <c r="A8" s="73" t="s">
        <v>269</v>
      </c>
      <c r="B8" s="74"/>
      <c r="C8" s="75"/>
      <c r="D8" s="74"/>
      <c r="E8" s="73"/>
      <c r="F8" s="72">
        <v>2520.41</v>
      </c>
    </row>
    <row r="9" spans="1:6" ht="14.25" customHeight="1" x14ac:dyDescent="0.3">
      <c r="A9" s="69" t="s">
        <v>224</v>
      </c>
      <c r="B9" s="74"/>
      <c r="C9" s="75"/>
      <c r="D9" s="74"/>
      <c r="E9" s="73"/>
      <c r="F9" s="76"/>
    </row>
    <row r="10" spans="1:6" ht="14.25" customHeight="1" x14ac:dyDescent="0.3">
      <c r="A10" s="69"/>
      <c r="B10" s="74" t="s">
        <v>189</v>
      </c>
      <c r="C10" s="75">
        <v>46171</v>
      </c>
      <c r="D10" s="74">
        <v>305329</v>
      </c>
      <c r="E10" s="73" t="s">
        <v>262</v>
      </c>
      <c r="F10" s="76">
        <v>75</v>
      </c>
    </row>
    <row r="11" spans="1:6" ht="14.25" customHeight="1" x14ac:dyDescent="0.3">
      <c r="A11" s="73"/>
      <c r="B11" s="74" t="s">
        <v>189</v>
      </c>
      <c r="C11" s="75">
        <v>46173</v>
      </c>
      <c r="D11" s="74">
        <v>305327</v>
      </c>
      <c r="E11" s="73" t="s">
        <v>263</v>
      </c>
      <c r="F11" s="76">
        <v>22.58</v>
      </c>
    </row>
    <row r="12" spans="1:6" ht="14.25" customHeight="1" x14ac:dyDescent="0.3">
      <c r="A12" s="69"/>
      <c r="B12" s="74" t="s">
        <v>189</v>
      </c>
      <c r="C12" s="75">
        <v>46203</v>
      </c>
      <c r="D12" s="74">
        <v>307885</v>
      </c>
      <c r="E12" s="73" t="s">
        <v>270</v>
      </c>
      <c r="F12" s="76">
        <v>175</v>
      </c>
    </row>
    <row r="13" spans="1:6" ht="14.25" customHeight="1" x14ac:dyDescent="0.3">
      <c r="A13" s="69"/>
      <c r="B13" s="74" t="s">
        <v>189</v>
      </c>
      <c r="C13" s="75">
        <v>46203</v>
      </c>
      <c r="D13" s="74">
        <v>316498</v>
      </c>
      <c r="E13" s="73" t="s">
        <v>271</v>
      </c>
      <c r="F13" s="76">
        <v>233</v>
      </c>
    </row>
    <row r="14" spans="1:6" ht="14.25" customHeight="1" x14ac:dyDescent="0.3">
      <c r="A14" s="73" t="s">
        <v>225</v>
      </c>
      <c r="B14" s="74"/>
      <c r="C14" s="75"/>
      <c r="D14" s="74"/>
      <c r="E14" s="73"/>
      <c r="F14" s="72">
        <v>505.58</v>
      </c>
    </row>
    <row r="15" spans="1:6" ht="14.25" customHeight="1" x14ac:dyDescent="0.3">
      <c r="A15" s="73" t="s">
        <v>188</v>
      </c>
      <c r="B15" s="74"/>
      <c r="C15" s="75"/>
      <c r="D15" s="74"/>
      <c r="E15" s="73"/>
      <c r="F15" s="76"/>
    </row>
    <row r="16" spans="1:6" ht="14.25" customHeight="1" x14ac:dyDescent="0.3">
      <c r="A16" s="69"/>
      <c r="B16" s="74" t="s">
        <v>189</v>
      </c>
      <c r="C16" s="75">
        <v>45949</v>
      </c>
      <c r="D16" s="74">
        <v>2344</v>
      </c>
      <c r="E16" s="73" t="s">
        <v>190</v>
      </c>
      <c r="F16" s="76">
        <v>975</v>
      </c>
    </row>
    <row r="17" spans="1:26" ht="14.25" customHeight="1" x14ac:dyDescent="0.3">
      <c r="A17" s="69" t="s">
        <v>191</v>
      </c>
      <c r="B17" s="74"/>
      <c r="C17" s="75"/>
      <c r="D17" s="74"/>
      <c r="E17" s="73"/>
      <c r="F17" s="76">
        <v>975</v>
      </c>
    </row>
    <row r="18" spans="1:26" ht="14.25" customHeight="1" x14ac:dyDescent="0.3">
      <c r="A18" s="73" t="s">
        <v>316</v>
      </c>
      <c r="B18" s="74"/>
      <c r="C18" s="75"/>
      <c r="D18" s="74"/>
      <c r="E18" s="73"/>
      <c r="F18" s="76"/>
    </row>
    <row r="19" spans="1:26" ht="14.25" customHeight="1" x14ac:dyDescent="0.3">
      <c r="A19" s="73"/>
      <c r="B19" s="74" t="s">
        <v>189</v>
      </c>
      <c r="C19" s="75">
        <v>46203</v>
      </c>
      <c r="D19" s="74">
        <v>3038</v>
      </c>
      <c r="E19" s="73" t="s">
        <v>317</v>
      </c>
      <c r="F19" s="76">
        <v>1440</v>
      </c>
    </row>
    <row r="20" spans="1:26" ht="14.25" customHeight="1" x14ac:dyDescent="0.3">
      <c r="A20" s="69" t="s">
        <v>318</v>
      </c>
      <c r="B20" s="74"/>
      <c r="C20" s="75"/>
      <c r="D20" s="74"/>
      <c r="E20" s="73"/>
      <c r="F20" s="72">
        <v>1440</v>
      </c>
    </row>
    <row r="21" spans="1:26" ht="14.25" customHeight="1" x14ac:dyDescent="0.3">
      <c r="A21" s="69" t="s">
        <v>226</v>
      </c>
      <c r="B21" s="74"/>
      <c r="C21" s="75"/>
      <c r="D21" s="74"/>
      <c r="E21" s="73"/>
      <c r="F21" s="76"/>
    </row>
    <row r="22" spans="1:26" ht="14.25" customHeight="1" x14ac:dyDescent="0.3">
      <c r="A22" s="73"/>
      <c r="B22" s="74" t="s">
        <v>189</v>
      </c>
      <c r="C22" s="75">
        <v>46154</v>
      </c>
      <c r="D22" s="74">
        <v>3190336</v>
      </c>
      <c r="E22" s="73" t="s">
        <v>227</v>
      </c>
      <c r="F22" s="76">
        <v>6107.56</v>
      </c>
    </row>
    <row r="23" spans="1:26" ht="14.25" customHeight="1" x14ac:dyDescent="0.3">
      <c r="A23" s="69"/>
      <c r="B23" s="74" t="s">
        <v>189</v>
      </c>
      <c r="C23" s="75">
        <v>46163</v>
      </c>
      <c r="D23" s="74">
        <v>3191123</v>
      </c>
      <c r="E23" s="73" t="s">
        <v>228</v>
      </c>
      <c r="F23" s="76">
        <v>7698.65</v>
      </c>
    </row>
    <row r="24" spans="1:26" ht="14.25" customHeight="1" x14ac:dyDescent="0.3">
      <c r="A24" s="69"/>
      <c r="B24" s="74" t="s">
        <v>189</v>
      </c>
      <c r="C24" s="75">
        <v>46202</v>
      </c>
      <c r="D24" s="74">
        <v>3194511</v>
      </c>
      <c r="E24" s="73" t="s">
        <v>272</v>
      </c>
      <c r="F24" s="76">
        <v>2243.79</v>
      </c>
    </row>
    <row r="25" spans="1:26" ht="14.25" customHeight="1" x14ac:dyDescent="0.3">
      <c r="A25" s="73" t="s">
        <v>229</v>
      </c>
      <c r="B25" s="74"/>
      <c r="C25" s="75"/>
      <c r="D25" s="74"/>
      <c r="E25" s="73"/>
      <c r="F25" s="76">
        <v>16050</v>
      </c>
    </row>
    <row r="26" spans="1:26" ht="14.25" customHeight="1" x14ac:dyDescent="0.3">
      <c r="A26" s="73" t="s">
        <v>230</v>
      </c>
      <c r="B26" s="74"/>
      <c r="C26" s="75"/>
      <c r="D26" s="74"/>
      <c r="E26" s="73"/>
      <c r="F26" s="76"/>
    </row>
    <row r="27" spans="1:26" ht="14.25" customHeight="1" x14ac:dyDescent="0.3">
      <c r="A27" s="73"/>
      <c r="B27" s="74" t="s">
        <v>189</v>
      </c>
      <c r="C27" s="75">
        <v>46154</v>
      </c>
      <c r="D27" s="74">
        <v>28435</v>
      </c>
      <c r="E27" s="73" t="s">
        <v>231</v>
      </c>
      <c r="F27" s="76">
        <v>1482.88</v>
      </c>
    </row>
    <row r="28" spans="1:26" ht="14.25" customHeight="1" x14ac:dyDescent="0.3">
      <c r="A28" s="69"/>
      <c r="B28" s="74" t="s">
        <v>189</v>
      </c>
      <c r="C28" s="75">
        <v>46163</v>
      </c>
      <c r="D28" s="74">
        <v>28478</v>
      </c>
      <c r="E28" s="73" t="s">
        <v>232</v>
      </c>
      <c r="F28" s="76">
        <v>1750</v>
      </c>
    </row>
    <row r="29" spans="1:26" ht="14.25" customHeight="1" x14ac:dyDescent="0.3">
      <c r="A29" s="69" t="s">
        <v>233</v>
      </c>
      <c r="B29" s="74"/>
      <c r="C29" s="75"/>
      <c r="D29" s="74"/>
      <c r="E29" s="73"/>
      <c r="F29" s="72">
        <v>3232.88</v>
      </c>
    </row>
    <row r="30" spans="1:26" ht="14.25" customHeight="1" x14ac:dyDescent="0.3">
      <c r="A30" s="73" t="s">
        <v>192</v>
      </c>
      <c r="B30" s="74"/>
      <c r="C30" s="75"/>
      <c r="D30" s="74"/>
      <c r="E30" s="73"/>
      <c r="F30" s="76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4.25" customHeight="1" x14ac:dyDescent="0.3">
      <c r="A31" s="73"/>
      <c r="B31" s="74" t="s">
        <v>189</v>
      </c>
      <c r="C31" s="75">
        <v>46142</v>
      </c>
      <c r="D31" s="74" t="s">
        <v>264</v>
      </c>
      <c r="E31" s="73" t="s">
        <v>193</v>
      </c>
      <c r="F31" s="76">
        <v>1864.51</v>
      </c>
    </row>
    <row r="32" spans="1:26" ht="15" customHeight="1" x14ac:dyDescent="0.3">
      <c r="A32" s="69"/>
      <c r="B32" s="74" t="s">
        <v>189</v>
      </c>
      <c r="C32" s="75">
        <v>46188</v>
      </c>
      <c r="D32" s="74" t="s">
        <v>273</v>
      </c>
      <c r="E32" s="73" t="s">
        <v>274</v>
      </c>
      <c r="F32" s="76">
        <v>4278</v>
      </c>
    </row>
    <row r="33" spans="1:6" ht="15" customHeight="1" x14ac:dyDescent="0.3">
      <c r="A33" s="69"/>
      <c r="B33" s="74" t="s">
        <v>189</v>
      </c>
      <c r="C33" s="75">
        <v>46188</v>
      </c>
      <c r="D33" s="74" t="s">
        <v>273</v>
      </c>
      <c r="E33" s="73" t="s">
        <v>275</v>
      </c>
      <c r="F33" s="76">
        <v>960.41</v>
      </c>
    </row>
    <row r="34" spans="1:6" ht="15" customHeight="1" x14ac:dyDescent="0.3">
      <c r="A34" s="73"/>
      <c r="B34" s="74" t="s">
        <v>189</v>
      </c>
      <c r="C34" s="75">
        <v>46188</v>
      </c>
      <c r="D34" s="74" t="s">
        <v>273</v>
      </c>
      <c r="E34" s="73" t="s">
        <v>276</v>
      </c>
      <c r="F34" s="76">
        <v>860.37</v>
      </c>
    </row>
    <row r="35" spans="1:6" ht="15" customHeight="1" x14ac:dyDescent="0.3">
      <c r="A35" s="73"/>
      <c r="B35" s="74" t="s">
        <v>189</v>
      </c>
      <c r="C35" s="75">
        <v>46188</v>
      </c>
      <c r="D35" s="74" t="s">
        <v>277</v>
      </c>
      <c r="E35" s="73" t="s">
        <v>278</v>
      </c>
      <c r="F35" s="76">
        <v>13022</v>
      </c>
    </row>
    <row r="36" spans="1:6" ht="15" customHeight="1" x14ac:dyDescent="0.3">
      <c r="A36" s="73" t="s">
        <v>194</v>
      </c>
      <c r="B36" s="74"/>
      <c r="C36" s="75"/>
      <c r="D36" s="74"/>
      <c r="E36" s="73"/>
      <c r="F36" s="72">
        <v>20985.29</v>
      </c>
    </row>
    <row r="37" spans="1:6" ht="15" customHeight="1" x14ac:dyDescent="0.3">
      <c r="A37" s="69" t="s">
        <v>195</v>
      </c>
      <c r="B37" s="74"/>
      <c r="C37" s="75"/>
      <c r="D37" s="74"/>
      <c r="E37" s="73"/>
      <c r="F37" s="76"/>
    </row>
    <row r="38" spans="1:6" ht="15" customHeight="1" x14ac:dyDescent="0.3">
      <c r="A38" s="69"/>
      <c r="B38" s="74" t="s">
        <v>189</v>
      </c>
      <c r="C38" s="75">
        <v>45974</v>
      </c>
      <c r="D38" s="74" t="s">
        <v>196</v>
      </c>
      <c r="E38" s="73" t="s">
        <v>197</v>
      </c>
      <c r="F38" s="76">
        <v>3760.4</v>
      </c>
    </row>
    <row r="39" spans="1:6" ht="15" customHeight="1" x14ac:dyDescent="0.3">
      <c r="A39" s="73"/>
      <c r="B39" s="74" t="s">
        <v>189</v>
      </c>
      <c r="C39" s="75">
        <v>46063</v>
      </c>
      <c r="D39" s="74" t="s">
        <v>198</v>
      </c>
      <c r="E39" s="73" t="s">
        <v>199</v>
      </c>
      <c r="F39" s="76">
        <v>210.75</v>
      </c>
    </row>
    <row r="40" spans="1:6" ht="15" customHeight="1" x14ac:dyDescent="0.3">
      <c r="A40" s="73"/>
      <c r="B40" s="74" t="s">
        <v>189</v>
      </c>
      <c r="C40" s="75">
        <v>46148</v>
      </c>
      <c r="D40" s="74" t="s">
        <v>234</v>
      </c>
      <c r="E40" s="73" t="s">
        <v>235</v>
      </c>
      <c r="F40" s="76">
        <v>892.5</v>
      </c>
    </row>
    <row r="41" spans="1:6" ht="15" customHeight="1" x14ac:dyDescent="0.3">
      <c r="A41" s="73"/>
      <c r="B41" s="74" t="s">
        <v>189</v>
      </c>
      <c r="C41" s="75">
        <v>46181</v>
      </c>
      <c r="D41" s="74" t="s">
        <v>279</v>
      </c>
      <c r="E41" s="73" t="s">
        <v>280</v>
      </c>
      <c r="F41" s="76">
        <v>817</v>
      </c>
    </row>
    <row r="42" spans="1:6" ht="15" customHeight="1" x14ac:dyDescent="0.3">
      <c r="A42" s="73" t="s">
        <v>200</v>
      </c>
      <c r="B42" s="74"/>
      <c r="C42" s="75"/>
      <c r="D42" s="74"/>
      <c r="E42" s="73"/>
      <c r="F42" s="72">
        <v>5680.65</v>
      </c>
    </row>
    <row r="43" spans="1:6" ht="15" customHeight="1" x14ac:dyDescent="0.3">
      <c r="A43" s="69" t="s">
        <v>236</v>
      </c>
      <c r="B43" s="74"/>
      <c r="C43" s="75"/>
      <c r="D43" s="74"/>
      <c r="E43" s="73"/>
      <c r="F43" s="76"/>
    </row>
    <row r="44" spans="1:6" ht="15" customHeight="1" x14ac:dyDescent="0.3">
      <c r="A44" s="69"/>
      <c r="B44" s="74" t="s">
        <v>189</v>
      </c>
      <c r="C44" s="75">
        <v>46170</v>
      </c>
      <c r="D44" s="74" t="s">
        <v>237</v>
      </c>
      <c r="E44" s="73" t="s">
        <v>238</v>
      </c>
      <c r="F44" s="76">
        <v>17635</v>
      </c>
    </row>
    <row r="45" spans="1:6" ht="15" customHeight="1" x14ac:dyDescent="0.3">
      <c r="A45" s="73"/>
      <c r="B45" s="74" t="s">
        <v>189</v>
      </c>
      <c r="C45" s="75">
        <v>46170</v>
      </c>
      <c r="D45" s="74" t="s">
        <v>237</v>
      </c>
      <c r="E45" s="73" t="s">
        <v>239</v>
      </c>
      <c r="F45" s="76">
        <v>11431.25</v>
      </c>
    </row>
    <row r="46" spans="1:6" ht="15" customHeight="1" x14ac:dyDescent="0.3">
      <c r="A46" s="73" t="s">
        <v>240</v>
      </c>
      <c r="B46" s="74"/>
      <c r="C46" s="75"/>
      <c r="D46" s="74"/>
      <c r="E46" s="73"/>
      <c r="F46" s="72">
        <v>29066.25</v>
      </c>
    </row>
    <row r="47" spans="1:6" ht="15" customHeight="1" x14ac:dyDescent="0.3">
      <c r="A47" s="69" t="s">
        <v>201</v>
      </c>
      <c r="B47" s="74"/>
      <c r="C47" s="75"/>
      <c r="D47" s="74"/>
      <c r="E47" s="73"/>
      <c r="F47" s="76"/>
    </row>
    <row r="48" spans="1:6" ht="15" customHeight="1" x14ac:dyDescent="0.3">
      <c r="A48" s="69"/>
      <c r="B48" s="74" t="s">
        <v>189</v>
      </c>
      <c r="C48" s="75">
        <v>46038</v>
      </c>
      <c r="D48" s="74">
        <v>2658</v>
      </c>
      <c r="E48" s="73" t="s">
        <v>202</v>
      </c>
      <c r="F48" s="76">
        <v>1800</v>
      </c>
    </row>
    <row r="49" spans="1:6" ht="15" customHeight="1" x14ac:dyDescent="0.3">
      <c r="A49" s="73"/>
      <c r="B49" s="74" t="s">
        <v>189</v>
      </c>
      <c r="C49" s="75">
        <v>46142</v>
      </c>
      <c r="D49" s="74">
        <v>2694</v>
      </c>
      <c r="E49" s="73" t="s">
        <v>203</v>
      </c>
      <c r="F49" s="76">
        <v>7625</v>
      </c>
    </row>
    <row r="50" spans="1:6" ht="15" customHeight="1" x14ac:dyDescent="0.3">
      <c r="A50" s="73"/>
      <c r="B50" s="74" t="s">
        <v>189</v>
      </c>
      <c r="C50" s="75">
        <v>46142</v>
      </c>
      <c r="D50" s="74">
        <v>2694</v>
      </c>
      <c r="E50" s="73" t="s">
        <v>204</v>
      </c>
      <c r="F50" s="76">
        <v>1732.55</v>
      </c>
    </row>
    <row r="51" spans="1:6" ht="15" customHeight="1" x14ac:dyDescent="0.3">
      <c r="A51" s="73"/>
      <c r="B51" s="74" t="s">
        <v>189</v>
      </c>
      <c r="C51" s="75">
        <v>46197</v>
      </c>
      <c r="D51" s="74">
        <v>2697</v>
      </c>
      <c r="E51" s="73" t="s">
        <v>281</v>
      </c>
      <c r="F51" s="76">
        <v>26900.55</v>
      </c>
    </row>
    <row r="52" spans="1:6" ht="15" customHeight="1" x14ac:dyDescent="0.3">
      <c r="A52" s="69" t="s">
        <v>205</v>
      </c>
      <c r="B52" s="74"/>
      <c r="C52" s="75"/>
      <c r="D52" s="74"/>
      <c r="E52" s="73"/>
      <c r="F52" s="72">
        <v>38058.1</v>
      </c>
    </row>
    <row r="53" spans="1:6" ht="15" customHeight="1" x14ac:dyDescent="0.3">
      <c r="A53" s="69" t="s">
        <v>282</v>
      </c>
      <c r="B53" s="74"/>
      <c r="C53" s="75"/>
      <c r="D53" s="74"/>
      <c r="E53" s="73"/>
      <c r="F53" s="76"/>
    </row>
    <row r="54" spans="1:6" ht="15" customHeight="1" x14ac:dyDescent="0.3">
      <c r="A54" s="73"/>
      <c r="B54" s="74" t="s">
        <v>189</v>
      </c>
      <c r="C54" s="75">
        <v>46203</v>
      </c>
      <c r="D54" s="74"/>
      <c r="E54" s="73" t="s">
        <v>283</v>
      </c>
      <c r="F54" s="76">
        <v>665</v>
      </c>
    </row>
    <row r="55" spans="1:6" ht="15" customHeight="1" x14ac:dyDescent="0.3">
      <c r="A55" s="73" t="s">
        <v>284</v>
      </c>
      <c r="B55" s="74"/>
      <c r="C55" s="75"/>
      <c r="D55" s="74"/>
      <c r="E55" s="73"/>
      <c r="F55" s="72">
        <v>665</v>
      </c>
    </row>
    <row r="56" spans="1:6" ht="15" customHeight="1" x14ac:dyDescent="0.3">
      <c r="A56" s="69" t="s">
        <v>206</v>
      </c>
      <c r="B56" s="74"/>
      <c r="C56" s="75"/>
      <c r="D56" s="74"/>
      <c r="E56" s="73"/>
      <c r="F56" s="76"/>
    </row>
    <row r="57" spans="1:6" ht="15" customHeight="1" x14ac:dyDescent="0.3">
      <c r="A57" s="69"/>
      <c r="B57" s="74" t="s">
        <v>189</v>
      </c>
      <c r="C57" s="75">
        <v>46001</v>
      </c>
      <c r="D57" s="74">
        <v>102800</v>
      </c>
      <c r="E57" s="73" t="s">
        <v>207</v>
      </c>
      <c r="F57" s="76">
        <v>3760</v>
      </c>
    </row>
    <row r="58" spans="1:6" ht="15" customHeight="1" x14ac:dyDescent="0.3">
      <c r="A58" s="73"/>
      <c r="B58" s="74" t="s">
        <v>189</v>
      </c>
      <c r="C58" s="75">
        <v>46062</v>
      </c>
      <c r="D58" s="74">
        <v>103557</v>
      </c>
      <c r="E58" s="73" t="s">
        <v>208</v>
      </c>
      <c r="F58" s="76">
        <v>300</v>
      </c>
    </row>
    <row r="59" spans="1:6" ht="15" customHeight="1" x14ac:dyDescent="0.3">
      <c r="A59" s="73"/>
      <c r="B59" s="74" t="s">
        <v>189</v>
      </c>
      <c r="C59" s="75">
        <v>46122</v>
      </c>
      <c r="D59" s="74">
        <v>104422</v>
      </c>
      <c r="E59" s="73" t="s">
        <v>209</v>
      </c>
      <c r="F59" s="76">
        <v>2477.4</v>
      </c>
    </row>
    <row r="60" spans="1:6" ht="15" customHeight="1" x14ac:dyDescent="0.3">
      <c r="A60" s="73"/>
      <c r="B60" s="74" t="s">
        <v>189</v>
      </c>
      <c r="C60" s="75">
        <v>46153</v>
      </c>
      <c r="D60" s="74">
        <v>104886</v>
      </c>
      <c r="E60" s="73" t="s">
        <v>241</v>
      </c>
      <c r="F60" s="76">
        <v>352.4</v>
      </c>
    </row>
    <row r="61" spans="1:6" ht="15" customHeight="1" x14ac:dyDescent="0.3">
      <c r="A61" s="73"/>
      <c r="B61" s="74" t="s">
        <v>189</v>
      </c>
      <c r="C61" s="75">
        <v>46188</v>
      </c>
      <c r="D61" s="74">
        <v>105386</v>
      </c>
      <c r="E61" s="73" t="s">
        <v>285</v>
      </c>
      <c r="F61" s="76">
        <v>130</v>
      </c>
    </row>
    <row r="62" spans="1:6" ht="15" customHeight="1" x14ac:dyDescent="0.3">
      <c r="A62" s="69" t="s">
        <v>210</v>
      </c>
      <c r="B62" s="74"/>
      <c r="C62" s="75"/>
      <c r="D62" s="74"/>
      <c r="E62" s="73"/>
      <c r="F62" s="72">
        <v>7019.7999999999993</v>
      </c>
    </row>
    <row r="63" spans="1:6" ht="15" customHeight="1" x14ac:dyDescent="0.3">
      <c r="A63" s="77" t="s">
        <v>211</v>
      </c>
      <c r="B63" s="80"/>
      <c r="C63" s="80"/>
      <c r="D63" s="80"/>
      <c r="E63" s="81"/>
      <c r="F63" s="82"/>
    </row>
    <row r="64" spans="1:6" ht="15" customHeight="1" x14ac:dyDescent="0.3">
      <c r="A64" s="78"/>
      <c r="B64" s="83" t="s">
        <v>189</v>
      </c>
      <c r="C64" s="83">
        <v>46128</v>
      </c>
      <c r="D64" s="83" t="s">
        <v>212</v>
      </c>
      <c r="E64" s="83" t="s">
        <v>213</v>
      </c>
      <c r="F64" s="83">
        <v>321.75</v>
      </c>
    </row>
    <row r="65" spans="1:6" ht="15" customHeight="1" x14ac:dyDescent="0.3">
      <c r="A65" s="78"/>
      <c r="B65" s="83" t="s">
        <v>189</v>
      </c>
      <c r="C65" s="83">
        <v>46147</v>
      </c>
      <c r="D65" s="83" t="s">
        <v>242</v>
      </c>
      <c r="E65" s="83" t="s">
        <v>243</v>
      </c>
      <c r="F65" s="83">
        <v>71.16</v>
      </c>
    </row>
    <row r="66" spans="1:6" ht="15" customHeight="1" x14ac:dyDescent="0.3">
      <c r="A66" s="78" t="s">
        <v>214</v>
      </c>
      <c r="B66" s="83"/>
      <c r="C66" s="83"/>
      <c r="D66" s="83"/>
      <c r="E66" s="83"/>
      <c r="F66" s="79">
        <v>392.90999999999997</v>
      </c>
    </row>
    <row r="67" spans="1:6" ht="15" customHeight="1" x14ac:dyDescent="0.3">
      <c r="A67" s="78" t="s">
        <v>215</v>
      </c>
      <c r="B67" s="83"/>
      <c r="C67" s="83"/>
      <c r="D67" s="83"/>
      <c r="E67" s="83"/>
      <c r="F67" s="83"/>
    </row>
    <row r="68" spans="1:6" ht="15" customHeight="1" x14ac:dyDescent="0.3">
      <c r="A68" s="78"/>
      <c r="B68" s="83" t="s">
        <v>189</v>
      </c>
      <c r="C68" s="83">
        <v>46007</v>
      </c>
      <c r="D68" s="83">
        <v>2182719713</v>
      </c>
      <c r="E68" s="83" t="s">
        <v>216</v>
      </c>
      <c r="F68" s="83">
        <v>1025</v>
      </c>
    </row>
    <row r="69" spans="1:6" ht="15" customHeight="1" x14ac:dyDescent="0.3">
      <c r="A69" s="78"/>
      <c r="B69" s="83" t="s">
        <v>189</v>
      </c>
      <c r="C69" s="83">
        <v>46105</v>
      </c>
      <c r="D69" s="83" t="s">
        <v>217</v>
      </c>
      <c r="E69" s="83" t="s">
        <v>218</v>
      </c>
      <c r="F69" s="83">
        <v>13700.75</v>
      </c>
    </row>
    <row r="70" spans="1:6" ht="15" customHeight="1" x14ac:dyDescent="0.3">
      <c r="A70" s="78"/>
      <c r="B70" s="83" t="s">
        <v>244</v>
      </c>
      <c r="C70" s="83">
        <v>46149</v>
      </c>
      <c r="D70" s="83">
        <v>2405438517</v>
      </c>
      <c r="E70" s="83" t="s">
        <v>245</v>
      </c>
      <c r="F70" s="83">
        <v>128.13</v>
      </c>
    </row>
    <row r="71" spans="1:6" ht="15" customHeight="1" x14ac:dyDescent="0.3">
      <c r="A71" s="78" t="s">
        <v>219</v>
      </c>
      <c r="B71" s="83"/>
      <c r="C71" s="83"/>
      <c r="D71" s="83"/>
      <c r="E71" s="83"/>
      <c r="F71" s="79">
        <v>14853.88</v>
      </c>
    </row>
    <row r="72" spans="1:6" ht="15" customHeight="1" x14ac:dyDescent="0.3">
      <c r="A72" s="78" t="s">
        <v>246</v>
      </c>
      <c r="B72" s="83"/>
      <c r="C72" s="83"/>
      <c r="D72" s="83"/>
      <c r="E72" s="83"/>
      <c r="F72" s="83"/>
    </row>
    <row r="73" spans="1:6" ht="15" customHeight="1" x14ac:dyDescent="0.3">
      <c r="A73" s="78"/>
      <c r="B73" s="83" t="s">
        <v>189</v>
      </c>
      <c r="C73" s="83">
        <v>46147</v>
      </c>
      <c r="D73" s="83" t="s">
        <v>247</v>
      </c>
      <c r="E73" s="83" t="s">
        <v>248</v>
      </c>
      <c r="F73" s="83">
        <v>7268.71</v>
      </c>
    </row>
    <row r="74" spans="1:6" ht="15" customHeight="1" x14ac:dyDescent="0.3">
      <c r="A74" s="78"/>
      <c r="B74" s="83" t="s">
        <v>189</v>
      </c>
      <c r="C74" s="83">
        <v>46148</v>
      </c>
      <c r="D74" s="83" t="s">
        <v>249</v>
      </c>
      <c r="E74" s="83" t="s">
        <v>250</v>
      </c>
      <c r="F74" s="83">
        <v>637.91</v>
      </c>
    </row>
    <row r="75" spans="1:6" ht="15" customHeight="1" x14ac:dyDescent="0.3">
      <c r="A75" s="78"/>
      <c r="B75" s="83" t="s">
        <v>189</v>
      </c>
      <c r="C75" s="83">
        <v>46190</v>
      </c>
      <c r="D75" s="83" t="s">
        <v>286</v>
      </c>
      <c r="E75" s="83" t="s">
        <v>287</v>
      </c>
      <c r="F75" s="83">
        <v>130.38</v>
      </c>
    </row>
    <row r="76" spans="1:6" ht="15" customHeight="1" x14ac:dyDescent="0.3">
      <c r="A76" s="78"/>
      <c r="B76" s="83" t="s">
        <v>189</v>
      </c>
      <c r="C76" s="83">
        <v>46195</v>
      </c>
      <c r="D76" s="83" t="s">
        <v>288</v>
      </c>
      <c r="E76" s="83" t="s">
        <v>289</v>
      </c>
      <c r="F76" s="83">
        <v>8.18</v>
      </c>
    </row>
    <row r="77" spans="1:6" ht="15" customHeight="1" x14ac:dyDescent="0.3">
      <c r="A77" s="78"/>
      <c r="B77" s="83" t="s">
        <v>189</v>
      </c>
      <c r="C77" s="83">
        <v>46195</v>
      </c>
      <c r="D77" s="83" t="s">
        <v>290</v>
      </c>
      <c r="E77" s="83" t="s">
        <v>291</v>
      </c>
      <c r="F77" s="83">
        <v>122.09</v>
      </c>
    </row>
    <row r="78" spans="1:6" ht="15" customHeight="1" x14ac:dyDescent="0.3">
      <c r="A78" s="78"/>
      <c r="B78" s="83" t="s">
        <v>189</v>
      </c>
      <c r="C78" s="83">
        <v>46196</v>
      </c>
      <c r="D78" s="83" t="s">
        <v>292</v>
      </c>
      <c r="E78" s="83" t="s">
        <v>293</v>
      </c>
      <c r="F78" s="83">
        <v>110.65</v>
      </c>
    </row>
    <row r="79" spans="1:6" ht="15" customHeight="1" x14ac:dyDescent="0.3">
      <c r="A79" s="78"/>
      <c r="B79" s="83" t="s">
        <v>189</v>
      </c>
      <c r="C79" s="83">
        <v>46202</v>
      </c>
      <c r="D79" s="83" t="s">
        <v>294</v>
      </c>
      <c r="E79" s="83" t="s">
        <v>295</v>
      </c>
      <c r="F79" s="83">
        <v>6385.55</v>
      </c>
    </row>
    <row r="80" spans="1:6" ht="15" customHeight="1" x14ac:dyDescent="0.3">
      <c r="A80" s="78"/>
      <c r="B80" s="83" t="s">
        <v>189</v>
      </c>
      <c r="C80" s="83">
        <v>46203</v>
      </c>
      <c r="D80" s="83" t="s">
        <v>296</v>
      </c>
      <c r="E80" s="83" t="s">
        <v>297</v>
      </c>
      <c r="F80" s="83">
        <v>8469.7000000000007</v>
      </c>
    </row>
    <row r="81" spans="1:6" ht="15" customHeight="1" x14ac:dyDescent="0.3">
      <c r="A81" s="78"/>
      <c r="B81" s="83" t="s">
        <v>189</v>
      </c>
      <c r="C81" s="83">
        <v>46203</v>
      </c>
      <c r="D81" s="83" t="s">
        <v>298</v>
      </c>
      <c r="E81" s="83" t="s">
        <v>299</v>
      </c>
      <c r="F81" s="83">
        <v>4079.43</v>
      </c>
    </row>
    <row r="82" spans="1:6" ht="15" customHeight="1" x14ac:dyDescent="0.3">
      <c r="A82" s="78"/>
      <c r="B82" s="83" t="s">
        <v>189</v>
      </c>
      <c r="C82" s="83">
        <v>46203</v>
      </c>
      <c r="D82" s="83" t="s">
        <v>300</v>
      </c>
      <c r="E82" s="83" t="s">
        <v>301</v>
      </c>
      <c r="F82" s="83">
        <v>3280.38</v>
      </c>
    </row>
    <row r="83" spans="1:6" ht="15" customHeight="1" x14ac:dyDescent="0.3">
      <c r="A83" s="78" t="s">
        <v>251</v>
      </c>
      <c r="B83" s="83"/>
      <c r="C83" s="83"/>
      <c r="D83" s="83"/>
      <c r="E83" s="83"/>
      <c r="F83" s="79">
        <v>30492.980000000003</v>
      </c>
    </row>
    <row r="84" spans="1:6" ht="15" customHeight="1" x14ac:dyDescent="0.3">
      <c r="A84" s="78" t="s">
        <v>302</v>
      </c>
      <c r="B84" s="83"/>
      <c r="C84" s="83"/>
      <c r="D84" s="83"/>
      <c r="E84" s="83"/>
      <c r="F84" s="83"/>
    </row>
    <row r="85" spans="1:6" ht="15" customHeight="1" x14ac:dyDescent="0.3">
      <c r="A85" s="78"/>
      <c r="B85" s="83" t="s">
        <v>189</v>
      </c>
      <c r="C85" s="83">
        <v>46182</v>
      </c>
      <c r="D85" s="83">
        <v>75624994</v>
      </c>
      <c r="E85" s="83" t="s">
        <v>303</v>
      </c>
      <c r="F85" s="83">
        <v>983.06</v>
      </c>
    </row>
    <row r="86" spans="1:6" ht="15" customHeight="1" x14ac:dyDescent="0.3">
      <c r="A86" s="78" t="s">
        <v>304</v>
      </c>
      <c r="B86" s="83"/>
      <c r="C86" s="83"/>
      <c r="D86" s="83"/>
      <c r="E86" s="83"/>
      <c r="F86" s="79">
        <v>983.06</v>
      </c>
    </row>
    <row r="87" spans="1:6" ht="15" customHeight="1" x14ac:dyDescent="0.3">
      <c r="A87" s="78" t="s">
        <v>252</v>
      </c>
      <c r="B87" s="83"/>
      <c r="C87" s="83"/>
      <c r="D87" s="83"/>
      <c r="E87" s="83"/>
      <c r="F87" s="83"/>
    </row>
    <row r="88" spans="1:6" ht="15" customHeight="1" x14ac:dyDescent="0.3">
      <c r="A88" s="78"/>
      <c r="B88" s="83" t="s">
        <v>189</v>
      </c>
      <c r="C88" s="83">
        <v>46153</v>
      </c>
      <c r="D88" s="83" t="s">
        <v>253</v>
      </c>
      <c r="E88" s="83" t="s">
        <v>254</v>
      </c>
      <c r="F88" s="83">
        <v>215.54</v>
      </c>
    </row>
    <row r="89" spans="1:6" ht="15" customHeight="1" x14ac:dyDescent="0.3">
      <c r="A89" s="78"/>
      <c r="B89" s="83" t="s">
        <v>189</v>
      </c>
      <c r="C89" s="83">
        <v>46154</v>
      </c>
      <c r="D89" s="83" t="s">
        <v>255</v>
      </c>
      <c r="E89" s="83" t="s">
        <v>256</v>
      </c>
      <c r="F89" s="83">
        <v>335.43</v>
      </c>
    </row>
    <row r="90" spans="1:6" ht="15" customHeight="1" x14ac:dyDescent="0.3">
      <c r="A90" s="78"/>
      <c r="B90" s="83" t="s">
        <v>189</v>
      </c>
      <c r="C90" s="83">
        <v>46156</v>
      </c>
      <c r="D90" s="83" t="s">
        <v>257</v>
      </c>
      <c r="E90" s="83" t="s">
        <v>258</v>
      </c>
      <c r="F90" s="83">
        <v>207.15</v>
      </c>
    </row>
    <row r="91" spans="1:6" ht="15" customHeight="1" x14ac:dyDescent="0.3">
      <c r="A91" s="78"/>
      <c r="B91" s="83" t="s">
        <v>189</v>
      </c>
      <c r="C91" s="83">
        <v>46156</v>
      </c>
      <c r="D91" s="83" t="s">
        <v>259</v>
      </c>
      <c r="E91" s="83" t="s">
        <v>260</v>
      </c>
      <c r="F91" s="83">
        <v>253.59</v>
      </c>
    </row>
    <row r="92" spans="1:6" ht="15" customHeight="1" x14ac:dyDescent="0.3">
      <c r="A92" s="78"/>
      <c r="B92" s="83" t="s">
        <v>189</v>
      </c>
      <c r="C92" s="83">
        <v>46195</v>
      </c>
      <c r="D92" s="83" t="s">
        <v>305</v>
      </c>
      <c r="E92" s="83" t="s">
        <v>306</v>
      </c>
      <c r="F92" s="83">
        <v>21.76</v>
      </c>
    </row>
    <row r="93" spans="1:6" ht="15" customHeight="1" x14ac:dyDescent="0.3">
      <c r="A93" s="78" t="s">
        <v>261</v>
      </c>
      <c r="B93" s="83"/>
      <c r="C93" s="83"/>
      <c r="D93" s="83"/>
      <c r="E93" s="83"/>
      <c r="F93" s="79">
        <v>1033.47</v>
      </c>
    </row>
    <row r="94" spans="1:6" ht="15" customHeight="1" x14ac:dyDescent="0.3">
      <c r="A94" s="78" t="s">
        <v>307</v>
      </c>
      <c r="B94" s="83"/>
      <c r="C94" s="83"/>
      <c r="D94" s="83"/>
      <c r="E94" s="83"/>
      <c r="F94" s="83"/>
    </row>
    <row r="95" spans="1:6" ht="15" customHeight="1" x14ac:dyDescent="0.3">
      <c r="A95" s="78"/>
      <c r="B95" s="83" t="s">
        <v>189</v>
      </c>
      <c r="C95" s="83">
        <v>46198</v>
      </c>
      <c r="D95" s="83" t="s">
        <v>308</v>
      </c>
      <c r="E95" s="83" t="s">
        <v>309</v>
      </c>
      <c r="F95" s="83">
        <v>159.86000000000001</v>
      </c>
    </row>
    <row r="96" spans="1:6" ht="15" customHeight="1" x14ac:dyDescent="0.3">
      <c r="A96" s="78" t="s">
        <v>310</v>
      </c>
      <c r="B96" s="83"/>
      <c r="C96" s="83"/>
      <c r="D96" s="83"/>
      <c r="E96" s="83"/>
      <c r="F96" s="79">
        <v>159.86000000000001</v>
      </c>
    </row>
    <row r="97" spans="1:6" ht="15" customHeight="1" x14ac:dyDescent="0.3">
      <c r="A97" s="78" t="s">
        <v>311</v>
      </c>
      <c r="B97" s="83"/>
      <c r="C97" s="83"/>
      <c r="D97" s="83"/>
      <c r="E97" s="83"/>
      <c r="F97" s="83"/>
    </row>
    <row r="98" spans="1:6" ht="15" customHeight="1" x14ac:dyDescent="0.3">
      <c r="A98" s="78"/>
      <c r="B98" s="83" t="s">
        <v>189</v>
      </c>
      <c r="C98" s="83">
        <v>46183</v>
      </c>
      <c r="D98" s="83">
        <v>2115166</v>
      </c>
      <c r="E98" s="83" t="s">
        <v>312</v>
      </c>
      <c r="F98" s="83">
        <v>900</v>
      </c>
    </row>
    <row r="99" spans="1:6" ht="15" customHeight="1" x14ac:dyDescent="0.3">
      <c r="A99" s="78" t="s">
        <v>313</v>
      </c>
      <c r="B99" s="83"/>
      <c r="C99" s="83"/>
      <c r="D99" s="83"/>
      <c r="E99" s="83"/>
      <c r="F99" s="79">
        <v>900</v>
      </c>
    </row>
    <row r="100" spans="1:6" ht="15" customHeight="1" x14ac:dyDescent="0.3">
      <c r="A100" s="63" t="s">
        <v>265</v>
      </c>
      <c r="B100" s="63"/>
      <c r="C100" s="63"/>
      <c r="D100" s="63"/>
      <c r="E100" s="63"/>
      <c r="F100" s="64">
        <f>F5+F8+F14+F17+F20+F25+F29+F36+F42+F46+F52+F55+F62+F66+F71+F83+F86+F93+F96+F99</f>
        <v>177750.72</v>
      </c>
    </row>
  </sheetData>
  <pageMargins left="0.14000000000000001" right="0.08" top="0.13" bottom="0.39" header="0" footer="0"/>
  <pageSetup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Breakdown</vt:lpstr>
      <vt:lpstr>Timesheet</vt:lpstr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Ibn Alamir</cp:lastModifiedBy>
  <cp:lastPrinted>2026-06-18T18:42:19Z</cp:lastPrinted>
  <dcterms:modified xsi:type="dcterms:W3CDTF">2026-07-20T21:48:20Z</dcterms:modified>
</cp:coreProperties>
</file>