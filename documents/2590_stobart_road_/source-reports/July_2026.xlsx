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Shared drives\McMann Group-Accounting\01. Projects - Accounting\01. Current Projects- Accounting\03. Russ McMann Residence\"/>
    </mc:Choice>
  </mc:AlternateContent>
  <xr:revisionPtr revIDLastSave="0" documentId="13_ncr:1_{FE3857DE-2EB2-46ED-8AB8-33D2F44AA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 Breakdown" sheetId="1" r:id="rId1"/>
    <sheet name="Timesheet" sheetId="2" r:id="rId2"/>
    <sheet name="Material" sheetId="4" r:id="rId3"/>
  </sheets>
  <definedNames>
    <definedName name="_xlnm._FilterDatabase" localSheetId="2" hidden="1">Material!$E$1:$E$435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2">Material!$A:$A,Material!$1:$1</definedName>
    <definedName name="QB_COLUMN_1" localSheetId="2" hidden="1">Material!#REF!</definedName>
    <definedName name="QB_COLUMN_22" localSheetId="2" hidden="1">Material!#REF!</definedName>
    <definedName name="QB_COLUMN_3" localSheetId="2" hidden="1">Material!$B$1</definedName>
    <definedName name="QB_COLUMN_30" localSheetId="2" hidden="1">Material!$F$1</definedName>
    <definedName name="QB_COLUMN_4" localSheetId="2" hidden="1">Material!$C$1</definedName>
    <definedName name="QB_COLUMN_5" localSheetId="2" hidden="1">Material!$D$1</definedName>
    <definedName name="QB_COLUMN_8" localSheetId="2" hidden="1">Material!$E$1</definedName>
    <definedName name="QB_DATA_0" localSheetId="2" hidden="1">Material!$3:$3,Material!$6:$6,Material!$7:$7,Material!$8:$8,Material!$9:$9,Material!$10:$10,Material!$13:$13,Material!$14:$14,Material!$15:$15,Material!$16:$16,Material!$17:$17,Material!$18:$18,Material!$19:$19,Material!$20:$20,Material!$21:$21,Material!$22:$22</definedName>
    <definedName name="QB_DATA_1" localSheetId="2" hidden="1">Material!$23:$23,Material!$24:$24,Material!$25:$25,Material!$26:$26,Material!$27:$27,Material!$28:$28,Material!$29:$29,Material!$30:$30,Material!$33:$33,Material!$36:$36,Material!$39:$39,Material!$42:$42,Material!$43:$43,Material!$44:$44,Material!$45:$45,Material!$48:$48</definedName>
    <definedName name="QB_DATA_10" localSheetId="2" hidden="1">Material!$229:$229,Material!$232:$232,Material!$235:$235,Material!$236:$236,Material!$237:$237,Material!$238:$238,Material!$239:$239,Material!$240:$240,Material!$241:$241,Material!$242:$242,Material!$243:$243,Material!$244:$244,Material!$245:$245,Material!$246:$246,Material!$247:$247,Material!$248:$248</definedName>
    <definedName name="QB_DATA_11" localSheetId="2" hidden="1">Material!$249:$249,Material!$252:$252,Material!$253:$253,Material!$256:$256,Material!$259:$259,Material!$260:$260,Material!$261:$261,Material!$262:$262,Material!$263:$263,Material!$264:$264,Material!$265:$265,Material!$266:$266,Material!$267:$267,Material!$268:$268,Material!$269:$269,Material!$270:$270</definedName>
    <definedName name="QB_DATA_12" localSheetId="2" hidden="1">Material!$271:$271,Material!$272:$272,Material!$273:$273,Material!$274:$274,Material!$275:$275,Material!$276:$276,Material!$277:$277,Material!$278:$278,Material!$279:$279,Material!$280:$280,Material!$281:$281,Material!$282:$282,Material!$283:$283,Material!$284:$284,Material!$285:$285,Material!$286:$286</definedName>
    <definedName name="QB_DATA_13" localSheetId="2" hidden="1">Material!$287:$287,Material!$288:$288,Material!$289:$289,Material!$290:$290,Material!$291:$291,Material!$292:$292,Material!$293:$293,Material!$294:$294,Material!$295:$295,Material!$296:$296,Material!$297:$297,Material!$298:$298,Material!$299:$299,Material!$300:$300,Material!$301:$301,Material!$302:$302</definedName>
    <definedName name="QB_DATA_14" localSheetId="2" hidden="1">Material!$303:$303,Material!$304:$304,Material!$305:$305,Material!$306:$306,Material!$307:$307,Material!$308:$308,Material!$309:$309,Material!$310:$310,Material!$313:$313,Material!$316:$316,Material!$319:$319,Material!$320:$320,Material!$321:$321,Material!$322:$322,Material!$323:$323,Material!$324:$324</definedName>
    <definedName name="QB_DATA_15" localSheetId="2" hidden="1">Material!$325:$325,Material!$326:$326,Material!$327:$327,Material!$328:$328,Material!$329:$329,Material!$330:$330,Material!$331:$331,Material!$332:$332,Material!$333:$333,Material!$334:$334,Material!$335:$335,Material!$336:$336,Material!$337:$337,Material!$338:$338,Material!$339:$339,Material!$340:$340</definedName>
    <definedName name="QB_DATA_16" localSheetId="2" hidden="1">Material!$341:$341,Material!$342:$342,Material!$343:$343,Material!$344:$344,Material!$345:$345,Material!$346:$346,Material!$347:$347,Material!$348:$348,Material!$349:$349,Material!$350:$350,Material!$351:$351,Material!$352:$352,Material!$353:$353,Material!$354:$354,Material!$355:$355,Material!$356:$356</definedName>
    <definedName name="QB_DATA_17" localSheetId="2" hidden="1">Material!$357:$357,Material!$358:$358,Material!$359:$359,Material!$360:$360,Material!$361:$361,Material!$362:$362,Material!$363:$363,Material!$364:$364,Material!$365:$365,Material!$366:$366,Material!$367:$367,Material!$368:$368,Material!$369:$369,Material!$370:$370,Material!$371:$371,Material!$372:$372</definedName>
    <definedName name="QB_DATA_18" localSheetId="2" hidden="1">Material!$373:$373,Material!$374:$374,Material!$375:$375,Material!$376:$376,Material!$377:$377,Material!$378:$378,Material!$379:$379,Material!$380:$380,Material!$381:$381,Material!$382:$382,Material!$383:$383,Material!$384:$384,Material!$385:$385,Material!$386:$386,Material!$387:$387,Material!$388:$388</definedName>
    <definedName name="QB_DATA_19" localSheetId="2" hidden="1">Material!$389:$389,Material!$390:$390,Material!$391:$391,Material!$392:$392,Material!$393:$393,Material!$394:$394,Material!$395:$395,Material!$398:$398,Material!$401:$401,Material!$402:$402,Material!$405:$405,Material!$406:$406,Material!$407:$407,Material!$410:$410,Material!$413:$413,Material!$416:$416</definedName>
    <definedName name="QB_DATA_2" localSheetId="2" hidden="1">Material!$49:$49,Material!$50:$50,Material!$53:$53,Material!$56:$56,Material!$57:$57,Material!$60:$60,Material!$61:$61,Material!$62:$62,Material!$63:$63,Material!$64:$64,Material!$65:$65,Material!$68:$68,Material!$71:$71,Material!$74:$74,Material!$77:$77,Material!$78:$78</definedName>
    <definedName name="QB_DATA_20" localSheetId="2" hidden="1">Material!$419:$419,Material!$420:$420,Material!$423:$423,Material!$424:$424,Material!$425:$425,Material!$426:$426,Material!$427:$427,Material!$430:$430,Material!$433:$433</definedName>
    <definedName name="QB_DATA_3" localSheetId="2" hidden="1">Material!$79:$79,Material!$82:$82,Material!$83:$83,Material!$84:$84,Material!$85:$85,Material!$88:$88,Material!$91:$91,Material!$92:$92,Material!$93:$93,Material!$94:$94,Material!$95:$95,Material!$96:$96,Material!$97:$97,Material!$98:$98,Material!$99:$99,Material!$100:$100</definedName>
    <definedName name="QB_DATA_4" localSheetId="2" hidden="1">Material!$101:$101,Material!$102:$102,Material!$103:$103,Material!$104:$104,Material!$105:$105,Material!$106:$106,Material!$107:$107,Material!$108:$108,Material!$109:$109,Material!$110:$110,Material!$111:$111,Material!$112:$112,Material!$113:$113,Material!$114:$114,Material!$115:$115,Material!$116:$116</definedName>
    <definedName name="QB_DATA_5" localSheetId="2" hidden="1">Material!$117:$117,Material!$118:$118,Material!$121:$121,Material!$122:$122,Material!$123:$123,Material!$126:$126,Material!$127:$127,Material!$128:$128,Material!$131:$131,Material!$132:$132,Material!$133:$133,Material!$134:$134,Material!$135:$135,Material!$136:$136,Material!$137:$137,Material!$138:$138</definedName>
    <definedName name="QB_DATA_6" localSheetId="2" hidden="1">Material!$139:$139,Material!$140:$140,Material!$141:$141,Material!$142:$142,Material!$143:$143,Material!$144:$144,Material!$145:$145,Material!$146:$146,Material!$147:$147,Material!$148:$148,Material!$149:$149,Material!$150:$150,Material!$151:$151,Material!$152:$152,Material!$153:$153,Material!$154:$154</definedName>
    <definedName name="QB_DATA_7" localSheetId="2" hidden="1">Material!$155:$155,Material!$156:$156,Material!$157:$157,Material!$158:$158,Material!$159:$159,Material!$160:$160,Material!$161:$161,Material!$162:$162,Material!$165:$165,Material!$166:$166,Material!$167:$167,Material!$168:$168,Material!$169:$169,Material!$172:$172,Material!$173:$173,Material!$174:$174</definedName>
    <definedName name="QB_DATA_8" localSheetId="2" hidden="1">Material!$175:$175,Material!$176:$176,Material!$179:$179,Material!$182:$182,Material!$185:$185,Material!$186:$186,Material!$189:$189,Material!$190:$190,Material!$193:$193,Material!$196:$196,Material!$197:$197,Material!$198:$198,Material!$199:$199,Material!$202:$202,Material!$205:$205,Material!$208:$208</definedName>
    <definedName name="QB_DATA_9" localSheetId="2" hidden="1">Material!$209:$209,Material!$210:$210,Material!$211:$211,Material!$212:$212,Material!$213:$213,Material!$214:$214,Material!$217:$217,Material!$218:$218,Material!$219:$219,Material!$220:$220,Material!$221:$221,Material!$222:$222,Material!$223:$223,Material!$224:$224,Material!$227:$227,Material!$228:$228</definedName>
    <definedName name="QB_FORMULA_0" localSheetId="2" hidden="1">Material!$F$4,Material!$F$11,Material!$F$31,Material!$F$34,Material!$F$37,Material!$F$40,Material!$F$46,Material!$F$51,Material!$F$54,Material!$F$58,Material!$F$66,Material!$F$69,Material!$F$72,Material!$F$75,Material!$F$80,Material!$F$86</definedName>
    <definedName name="QB_FORMULA_1" localSheetId="2" hidden="1">Material!$F$89,Material!$F$119,Material!$F$124,Material!$F$129,Material!$F$163,Material!$F$170,Material!$F$177,Material!$F$180,Material!$F$183,Material!$F$187,Material!$F$191,Material!$F$194,Material!$F$200,Material!$F$203,Material!$F$206,Material!$F$215</definedName>
    <definedName name="QB_FORMULA_2" localSheetId="2" hidden="1">Material!$F$225,Material!$F$230,Material!$F$233,Material!$F$250,Material!$F$254,Material!$F$257,Material!$F$311,Material!$F$314,Material!$F$317,Material!$F$396,Material!$F$399,Material!$F$403,Material!$F$408,Material!$F$411,Material!$F$414,Material!$F$417</definedName>
    <definedName name="QB_FORMULA_3" localSheetId="2" hidden="1">Material!$F$421,Material!$F$428,Material!$F$431,Material!$F$434,Material!#REF!</definedName>
    <definedName name="QB_ROW_110010" localSheetId="2" hidden="1">Material!$A$409</definedName>
    <definedName name="QB_ROW_110310" localSheetId="2" hidden="1">Material!$A$411</definedName>
    <definedName name="QB_ROW_127010" localSheetId="2" hidden="1">Material!$A$404</definedName>
    <definedName name="QB_ROW_127310" localSheetId="2" hidden="1">Material!$A$408</definedName>
    <definedName name="QB_ROW_142010" localSheetId="2" hidden="1">Material!$A$400</definedName>
    <definedName name="QB_ROW_142310" localSheetId="2" hidden="1">Material!$A$403</definedName>
    <definedName name="QB_ROW_167010" localSheetId="2" hidden="1">Material!$A$318</definedName>
    <definedName name="QB_ROW_167310" localSheetId="2" hidden="1">Material!$A$396</definedName>
    <definedName name="QB_ROW_178010" localSheetId="2" hidden="1">Material!$A$312</definedName>
    <definedName name="QB_ROW_178310" localSheetId="2" hidden="1">Material!$A$314</definedName>
    <definedName name="QB_ROW_239010" localSheetId="2" hidden="1">Material!$A$255</definedName>
    <definedName name="QB_ROW_239310" localSheetId="2" hidden="1">Material!$A$257</definedName>
    <definedName name="QB_ROW_244010" localSheetId="2" hidden="1">Material!$A$251</definedName>
    <definedName name="QB_ROW_244310" localSheetId="2" hidden="1">Material!$A$254</definedName>
    <definedName name="QB_ROW_250010" localSheetId="2" hidden="1">Material!$A$234</definedName>
    <definedName name="QB_ROW_250310" localSheetId="2" hidden="1">Material!$A$250</definedName>
    <definedName name="QB_ROW_275010" localSheetId="2" hidden="1">Material!$A$226</definedName>
    <definedName name="QB_ROW_275310" localSheetId="2" hidden="1">Material!$A$230</definedName>
    <definedName name="QB_ROW_291010" localSheetId="2" hidden="1">Material!$A$207</definedName>
    <definedName name="QB_ROW_291310" localSheetId="2" hidden="1">Material!$A$215</definedName>
    <definedName name="QB_ROW_294010" localSheetId="2" hidden="1">Material!$A$204</definedName>
    <definedName name="QB_ROW_294310" localSheetId="2" hidden="1">Material!$A$206</definedName>
    <definedName name="QB_ROW_304010" localSheetId="2" hidden="1">Material!$A$201</definedName>
    <definedName name="QB_ROW_304310" localSheetId="2" hidden="1">Material!$A$203</definedName>
    <definedName name="QB_ROW_321010" localSheetId="2" hidden="1">Material!$A$195</definedName>
    <definedName name="QB_ROW_321310" localSheetId="2" hidden="1">Material!$A$200</definedName>
    <definedName name="QB_ROW_32301" localSheetId="2" hidden="1">Material!#REF!</definedName>
    <definedName name="QB_ROW_328010" localSheetId="2" hidden="1">Material!$A$192</definedName>
    <definedName name="QB_ROW_328310" localSheetId="2" hidden="1">Material!$A$194</definedName>
    <definedName name="QB_ROW_354010" localSheetId="2" hidden="1">Material!$A$164</definedName>
    <definedName name="QB_ROW_354310" localSheetId="2" hidden="1">Material!$A$170</definedName>
    <definedName name="QB_ROW_358010" localSheetId="2" hidden="1">Material!$A$130</definedName>
    <definedName name="QB_ROW_358310" localSheetId="2" hidden="1">Material!$A$163</definedName>
    <definedName name="QB_ROW_369010" localSheetId="2" hidden="1">Material!$A$125</definedName>
    <definedName name="QB_ROW_369310" localSheetId="2" hidden="1">Material!$A$129</definedName>
    <definedName name="QB_ROW_370010" localSheetId="2" hidden="1">Material!$A$120</definedName>
    <definedName name="QB_ROW_370310" localSheetId="2" hidden="1">Material!$A$124</definedName>
    <definedName name="QB_ROW_373010" localSheetId="2" hidden="1">Material!$A$90</definedName>
    <definedName name="QB_ROW_373310" localSheetId="2" hidden="1">Material!$A$119</definedName>
    <definedName name="QB_ROW_384010" localSheetId="2" hidden="1">Material!$A$87</definedName>
    <definedName name="QB_ROW_384310" localSheetId="2" hidden="1">Material!$A$89</definedName>
    <definedName name="QB_ROW_404010" localSheetId="2" hidden="1">Material!$A$81</definedName>
    <definedName name="QB_ROW_404310" localSheetId="2" hidden="1">Material!$A$86</definedName>
    <definedName name="QB_ROW_420010" localSheetId="2" hidden="1">Material!$A$73</definedName>
    <definedName name="QB_ROW_420310" localSheetId="2" hidden="1">Material!$A$75</definedName>
    <definedName name="QB_ROW_44010" localSheetId="2" hidden="1">Material!$A$2</definedName>
    <definedName name="QB_ROW_44310" localSheetId="2" hidden="1">Material!$A$4</definedName>
    <definedName name="QB_ROW_47010" localSheetId="2" hidden="1">Material!$A$432</definedName>
    <definedName name="QB_ROW_47310" localSheetId="2" hidden="1">Material!$A$434</definedName>
    <definedName name="QB_ROW_506010" localSheetId="2" hidden="1">Material!$A$59</definedName>
    <definedName name="QB_ROW_506310" localSheetId="2" hidden="1">Material!$A$66</definedName>
    <definedName name="QB_ROW_552010" localSheetId="2" hidden="1">Material!$A$47</definedName>
    <definedName name="QB_ROW_552310" localSheetId="2" hidden="1">Material!$A$51</definedName>
    <definedName name="QB_ROW_556010" localSheetId="2" hidden="1">Material!$A$41</definedName>
    <definedName name="QB_ROW_556310" localSheetId="2" hidden="1">Material!$A$46</definedName>
    <definedName name="QB_ROW_589010" localSheetId="2" hidden="1">Material!$A$38</definedName>
    <definedName name="QB_ROW_589310" localSheetId="2" hidden="1">Material!$A$40</definedName>
    <definedName name="QB_ROW_620010" localSheetId="2" hidden="1">Material!$A$35</definedName>
    <definedName name="QB_ROW_620310" localSheetId="2" hidden="1">Material!$A$37</definedName>
    <definedName name="QB_ROW_621010" localSheetId="2" hidden="1">Material!$A$32</definedName>
    <definedName name="QB_ROW_621310" localSheetId="2" hidden="1">Material!$A$34</definedName>
    <definedName name="QB_ROW_63010" localSheetId="2" hidden="1">Material!$A$415</definedName>
    <definedName name="QB_ROW_63310" localSheetId="2" hidden="1">Material!$A$417</definedName>
    <definedName name="QB_ROW_650010" localSheetId="2" hidden="1">Material!$A$12</definedName>
    <definedName name="QB_ROW_650310" localSheetId="2" hidden="1">Material!$A$31</definedName>
    <definedName name="QB_ROW_694010" localSheetId="2" hidden="1">Material!$A$181</definedName>
    <definedName name="QB_ROW_694310" localSheetId="2" hidden="1">Material!$A$183</definedName>
    <definedName name="QB_ROW_724010" localSheetId="2" hidden="1">Material!$A$55</definedName>
    <definedName name="QB_ROW_724310" localSheetId="2" hidden="1">Material!$A$58</definedName>
    <definedName name="QB_ROW_729010" localSheetId="2" hidden="1">Material!$A$184</definedName>
    <definedName name="QB_ROW_729310" localSheetId="2" hidden="1">Material!$A$187</definedName>
    <definedName name="QB_ROW_73010" localSheetId="2" hidden="1">Material!$A$412</definedName>
    <definedName name="QB_ROW_73310" localSheetId="2" hidden="1">Material!$A$414</definedName>
    <definedName name="QB_ROW_742010" localSheetId="2" hidden="1">Material!$A$429</definedName>
    <definedName name="QB_ROW_742310" localSheetId="2" hidden="1">Material!$A$431</definedName>
    <definedName name="QB_ROW_779010" localSheetId="2" hidden="1">Material!$A$258</definedName>
    <definedName name="QB_ROW_779310" localSheetId="2" hidden="1">Material!$A$311</definedName>
    <definedName name="QB_ROW_787010" localSheetId="2" hidden="1">Material!$A$67</definedName>
    <definedName name="QB_ROW_787310" localSheetId="2" hidden="1">Material!$A$69</definedName>
    <definedName name="QB_ROW_842010" localSheetId="2" hidden="1">Material!$A$171</definedName>
    <definedName name="QB_ROW_842310" localSheetId="2" hidden="1">Material!$A$177</definedName>
    <definedName name="QB_ROW_844010" localSheetId="2" hidden="1">Material!$A$422</definedName>
    <definedName name="QB_ROW_844310" localSheetId="2" hidden="1">Material!$A$428</definedName>
    <definedName name="QB_ROW_866010" localSheetId="2" hidden="1">Material!$A$216</definedName>
    <definedName name="QB_ROW_866310" localSheetId="2" hidden="1">Material!$A$225</definedName>
    <definedName name="QB_ROW_887010" localSheetId="2" hidden="1">Material!$A$397</definedName>
    <definedName name="QB_ROW_887310" localSheetId="2" hidden="1">Material!$A$399</definedName>
    <definedName name="QB_ROW_935010" localSheetId="2" hidden="1">Material!$A$52</definedName>
    <definedName name="QB_ROW_935310" localSheetId="2" hidden="1">Material!$A$54</definedName>
    <definedName name="QB_ROW_939010" localSheetId="2" hidden="1">Material!$A$418</definedName>
    <definedName name="QB_ROW_939310" localSheetId="2" hidden="1">Material!$A$421</definedName>
    <definedName name="QB_ROW_953010" localSheetId="2" hidden="1">Material!$A$76</definedName>
    <definedName name="QB_ROW_953310" localSheetId="2" hidden="1">Material!$A$80</definedName>
    <definedName name="QB_ROW_954010" localSheetId="2" hidden="1">Material!$A$231</definedName>
    <definedName name="QB_ROW_954310" localSheetId="2" hidden="1">Material!$A$233</definedName>
    <definedName name="QB_ROW_968010" localSheetId="2" hidden="1">Material!$A$188</definedName>
    <definedName name="QB_ROW_968310" localSheetId="2" hidden="1">Material!$A$191</definedName>
    <definedName name="QB_ROW_970010" localSheetId="2" hidden="1">Material!$A$5</definedName>
    <definedName name="QB_ROW_970310" localSheetId="2" hidden="1">Material!$A$11</definedName>
    <definedName name="QB_ROW_972010" localSheetId="2" hidden="1">Material!$A$70</definedName>
    <definedName name="QB_ROW_972310" localSheetId="2" hidden="1">Material!$A$72</definedName>
    <definedName name="QB_ROW_980010" localSheetId="2" hidden="1">Material!$A$178</definedName>
    <definedName name="QB_ROW_980310" localSheetId="2" hidden="1">Material!$A$180</definedName>
    <definedName name="QB_ROW_982010" localSheetId="2" hidden="1">Material!$A$315</definedName>
    <definedName name="QB_ROW_982310" localSheetId="2" hidden="1">Material!$A$317</definedName>
    <definedName name="QBCANSUPPORTUPDATE" localSheetId="2">TRUE</definedName>
    <definedName name="QBCOMPANYFILENAME" localSheetId="2">"C:\Users\17782\Desktop\$$Data Files\$QuickBooks Files\$Russell Mcmann Companies QB\McMann Group Inc\McMann Group Inc.QBW"</definedName>
    <definedName name="QBHEADERSONSCREEN" localSheetId="2">FALSE</definedName>
    <definedName name="QBMETADATASIZE" localSheetId="2">8049</definedName>
    <definedName name="QBPRESERVECOLOR" localSheetId="2">TRUE</definedName>
    <definedName name="QBPRESERVEFONT" localSheetId="2">TRUE</definedName>
    <definedName name="QBPRESERVEROWHEIGHT" localSheetId="2">TRUE</definedName>
    <definedName name="QBPRESERVESPACE" localSheetId="2">TRUE</definedName>
    <definedName name="QBREPORTCOLAXIS" localSheetId="2">0</definedName>
    <definedName name="QBREPORTCOMPANYID" localSheetId="2">"cdb3831d65524c189c285e069069d325"</definedName>
    <definedName name="QBREPORTCOMPARECOL_ANNUALBUDGET" localSheetId="2">FALSE</definedName>
    <definedName name="QBREPORTCOMPARECOL_AVGCOGS" localSheetId="2">FALSE</definedName>
    <definedName name="QBREPORTCOMPARECOL_AVGPRICE" localSheetId="2">FALSE</definedName>
    <definedName name="QBREPORTCOMPARECOL_BUDDIFF" localSheetId="2">FALSE</definedName>
    <definedName name="QBREPORTCOMPARECOL_BUDGET" localSheetId="2">FALSE</definedName>
    <definedName name="QBREPORTCOMPARECOL_BUDPCT" localSheetId="2">FALSE</definedName>
    <definedName name="QBREPORTCOMPARECOL_COGS" localSheetId="2">FALSE</definedName>
    <definedName name="QBREPORTCOMPARECOL_EXCLUDEAMOUNT" localSheetId="2">FALSE</definedName>
    <definedName name="QBREPORTCOMPARECOL_EXCLUDECURPERIOD" localSheetId="2">FALSE</definedName>
    <definedName name="QBREPORTCOMPARECOL_FORECAST" localSheetId="2">FALSE</definedName>
    <definedName name="QBREPORTCOMPARECOL_GROSSMARGIN" localSheetId="2">FALSE</definedName>
    <definedName name="QBREPORTCOMPARECOL_GROSSMARGINPCT" localSheetId="2">FALSE</definedName>
    <definedName name="QBREPORTCOMPARECOL_HOURS" localSheetId="2">FALSE</definedName>
    <definedName name="QBREPORTCOMPARECOL_PCTCOL" localSheetId="2">FALSE</definedName>
    <definedName name="QBREPORTCOMPARECOL_PCTEXPENSE" localSheetId="2">FALSE</definedName>
    <definedName name="QBREPORTCOMPARECOL_PCTINCOME" localSheetId="2">FALSE</definedName>
    <definedName name="QBREPORTCOMPARECOL_PCTOFSALES" localSheetId="2">FALSE</definedName>
    <definedName name="QBREPORTCOMPARECOL_PCTROW" localSheetId="2">FALSE</definedName>
    <definedName name="QBREPORTCOMPARECOL_PPDIFF" localSheetId="2">FALSE</definedName>
    <definedName name="QBREPORTCOMPARECOL_PPPCT" localSheetId="2">FALSE</definedName>
    <definedName name="QBREPORTCOMPARECOL_PREVPERIOD" localSheetId="2">FALSE</definedName>
    <definedName name="QBREPORTCOMPARECOL_PREVYEAR" localSheetId="2">FALSE</definedName>
    <definedName name="QBREPORTCOMPARECOL_PYDIFF" localSheetId="2">FALSE</definedName>
    <definedName name="QBREPORTCOMPARECOL_PYPCT" localSheetId="2">FALSE</definedName>
    <definedName name="QBREPORTCOMPARECOL_QTY" localSheetId="2">FALSE</definedName>
    <definedName name="QBREPORTCOMPARECOL_RATE" localSheetId="2">FALSE</definedName>
    <definedName name="QBREPORTCOMPARECOL_TRIPBILLEDMILES" localSheetId="2">FALSE</definedName>
    <definedName name="QBREPORTCOMPARECOL_TRIPBILLINGAMOUNT" localSheetId="2">FALSE</definedName>
    <definedName name="QBREPORTCOMPARECOL_TRIPMILES" localSheetId="2">FALSE</definedName>
    <definedName name="QBREPORTCOMPARECOL_TRIPNOTBILLABLEMILES" localSheetId="2">FALSE</definedName>
    <definedName name="QBREPORTCOMPARECOL_TRIPTAXDEDUCTIBLEAMOUNT" localSheetId="2">FALSE</definedName>
    <definedName name="QBREPORTCOMPARECOL_TRIPUNBILLEDMILES" localSheetId="2">FALSE</definedName>
    <definedName name="QBREPORTCOMPARECOL_YTD" localSheetId="2">FALSE</definedName>
    <definedName name="QBREPORTCOMPARECOL_YTDBUDGET" localSheetId="2">FALSE</definedName>
    <definedName name="QBREPORTCOMPARECOL_YTDPCT" localSheetId="2">FALSE</definedName>
    <definedName name="QBREPORTROWAXIS" localSheetId="2">15</definedName>
    <definedName name="QBREPORTSUBCOLAXIS" localSheetId="2">0</definedName>
    <definedName name="QBREPORTTYPE" localSheetId="2">109</definedName>
    <definedName name="QBROWHEADERS" localSheetId="2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5" i="1" l="1"/>
  <c r="E176" i="1"/>
  <c r="D178" i="1"/>
  <c r="E178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D159" i="1"/>
  <c r="E159" i="1" s="1"/>
  <c r="D158" i="1"/>
  <c r="D154" i="1"/>
  <c r="E154" i="1" s="1"/>
  <c r="D153" i="1"/>
  <c r="E153" i="1" s="1"/>
  <c r="D152" i="1"/>
  <c r="D148" i="1"/>
  <c r="E148" i="1" s="1"/>
  <c r="D147" i="1"/>
  <c r="E147" i="1" s="1"/>
  <c r="D146" i="1"/>
  <c r="E146" i="1" s="1"/>
  <c r="D145" i="1"/>
  <c r="D141" i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D122" i="1"/>
  <c r="E122" i="1" s="1"/>
  <c r="D121" i="1"/>
  <c r="E121" i="1" s="1"/>
  <c r="D120" i="1"/>
  <c r="E120" i="1" s="1"/>
  <c r="D119" i="1"/>
  <c r="E119" i="1" s="1"/>
  <c r="D118" i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D105" i="1"/>
  <c r="E105" i="1" s="1"/>
  <c r="D104" i="1"/>
  <c r="D100" i="1"/>
  <c r="D96" i="1"/>
  <c r="E96" i="1" s="1"/>
  <c r="D95" i="1"/>
  <c r="E95" i="1" s="1"/>
  <c r="D94" i="1"/>
  <c r="E94" i="1" s="1"/>
  <c r="D93" i="1"/>
  <c r="E93" i="1" s="1"/>
  <c r="D92" i="1"/>
  <c r="E92" i="1" s="1"/>
  <c r="D91" i="1"/>
  <c r="D87" i="1"/>
  <c r="E87" i="1" s="1"/>
  <c r="D86" i="1"/>
  <c r="D82" i="1"/>
  <c r="D78" i="1"/>
  <c r="E78" i="1" s="1"/>
  <c r="D77" i="1"/>
  <c r="E77" i="1" s="1"/>
  <c r="D76" i="1"/>
  <c r="E76" i="1" s="1"/>
  <c r="D75" i="1"/>
  <c r="E75" i="1" s="1"/>
  <c r="D74" i="1"/>
  <c r="D70" i="1"/>
  <c r="D66" i="1"/>
  <c r="E66" i="1" s="1"/>
  <c r="D65" i="1"/>
  <c r="E65" i="1" s="1"/>
  <c r="D64" i="1"/>
  <c r="E64" i="1" s="1"/>
  <c r="D63" i="1"/>
  <c r="D59" i="1"/>
  <c r="E59" i="1" s="1"/>
  <c r="D58" i="1"/>
  <c r="E58" i="1" s="1"/>
  <c r="D57" i="1"/>
  <c r="E57" i="1" s="1"/>
  <c r="D56" i="1"/>
  <c r="E56" i="1" s="1"/>
  <c r="D55" i="1"/>
  <c r="D51" i="1"/>
  <c r="E51" i="1" s="1"/>
  <c r="D50" i="1"/>
  <c r="D46" i="1"/>
  <c r="E46" i="1" s="1"/>
  <c r="D45" i="1"/>
  <c r="D44" i="1"/>
  <c r="E44" i="1" s="1"/>
  <c r="D43" i="1"/>
  <c r="E43" i="1" s="1"/>
  <c r="D42" i="1"/>
  <c r="D38" i="1"/>
  <c r="E38" i="1" s="1"/>
  <c r="D37" i="1"/>
  <c r="E37" i="1" s="1"/>
  <c r="D36" i="1"/>
  <c r="E36" i="1" s="1"/>
  <c r="D35" i="1"/>
  <c r="E35" i="1" s="1"/>
  <c r="D34" i="1"/>
  <c r="E34" i="1" s="1"/>
  <c r="D33" i="1"/>
  <c r="D32" i="1"/>
  <c r="E32" i="1" s="1"/>
  <c r="D31" i="1"/>
  <c r="E31" i="1" s="1"/>
  <c r="D30" i="1"/>
  <c r="D26" i="1"/>
  <c r="E26" i="1" s="1"/>
  <c r="D25" i="1"/>
  <c r="D24" i="1"/>
  <c r="E24" i="1" s="1"/>
  <c r="D20" i="1"/>
  <c r="E20" i="1" s="1"/>
  <c r="D19" i="1"/>
  <c r="E19" i="1" s="1"/>
  <c r="D18" i="1"/>
  <c r="E18" i="1" s="1"/>
  <c r="D17" i="1"/>
  <c r="D13" i="1"/>
  <c r="E13" i="1" s="1"/>
  <c r="D12" i="1"/>
  <c r="E12" i="1" s="1"/>
  <c r="D11" i="1"/>
  <c r="E11" i="1" s="1"/>
  <c r="D10" i="1"/>
  <c r="D6" i="1"/>
  <c r="E6" i="1" s="1"/>
  <c r="D5" i="1"/>
  <c r="F434" i="4"/>
  <c r="F431" i="4"/>
  <c r="F428" i="4"/>
  <c r="F421" i="4"/>
  <c r="F417" i="4"/>
  <c r="F414" i="4"/>
  <c r="F411" i="4"/>
  <c r="F408" i="4"/>
  <c r="F403" i="4"/>
  <c r="F399" i="4"/>
  <c r="F396" i="4"/>
  <c r="F317" i="4"/>
  <c r="F314" i="4"/>
  <c r="F311" i="4"/>
  <c r="F257" i="4"/>
  <c r="F254" i="4"/>
  <c r="F250" i="4"/>
  <c r="F233" i="4"/>
  <c r="F230" i="4"/>
  <c r="F225" i="4"/>
  <c r="F215" i="4"/>
  <c r="F206" i="4"/>
  <c r="F203" i="4"/>
  <c r="F200" i="4"/>
  <c r="F194" i="4"/>
  <c r="F191" i="4"/>
  <c r="F187" i="4"/>
  <c r="F183" i="4"/>
  <c r="F180" i="4"/>
  <c r="F177" i="4"/>
  <c r="F170" i="4"/>
  <c r="F163" i="4"/>
  <c r="F129" i="4"/>
  <c r="F124" i="4"/>
  <c r="F119" i="4"/>
  <c r="F89" i="4"/>
  <c r="F86" i="4"/>
  <c r="F80" i="4"/>
  <c r="F75" i="4"/>
  <c r="F72" i="4"/>
  <c r="F69" i="4"/>
  <c r="F66" i="4"/>
  <c r="F58" i="4"/>
  <c r="F54" i="4"/>
  <c r="F51" i="4"/>
  <c r="F46" i="4"/>
  <c r="F40" i="4"/>
  <c r="F37" i="4"/>
  <c r="F34" i="4"/>
  <c r="F31" i="4"/>
  <c r="F11" i="4"/>
  <c r="F4" i="4"/>
  <c r="C179" i="1"/>
  <c r="B179" i="1"/>
  <c r="E364" i="2"/>
  <c r="B67" i="1"/>
  <c r="C170" i="1"/>
  <c r="C160" i="1"/>
  <c r="C155" i="1"/>
  <c r="C149" i="1"/>
  <c r="C142" i="1"/>
  <c r="C138" i="1"/>
  <c r="C123" i="1"/>
  <c r="C115" i="1"/>
  <c r="C106" i="1"/>
  <c r="C101" i="1"/>
  <c r="C97" i="1"/>
  <c r="C88" i="1"/>
  <c r="C83" i="1"/>
  <c r="C79" i="1"/>
  <c r="C71" i="1"/>
  <c r="C67" i="1"/>
  <c r="C60" i="1"/>
  <c r="C52" i="1"/>
  <c r="G52" i="1"/>
  <c r="H52" i="1"/>
  <c r="C47" i="1"/>
  <c r="C39" i="1"/>
  <c r="C27" i="1"/>
  <c r="C21" i="1"/>
  <c r="C7" i="1"/>
  <c r="C14" i="1"/>
  <c r="B7" i="1"/>
  <c r="B97" i="1"/>
  <c r="B170" i="1"/>
  <c r="B115" i="1"/>
  <c r="B60" i="1"/>
  <c r="B52" i="1"/>
  <c r="B14" i="1"/>
  <c r="B160" i="1"/>
  <c r="B155" i="1"/>
  <c r="B149" i="1"/>
  <c r="B142" i="1"/>
  <c r="B138" i="1"/>
  <c r="B123" i="1"/>
  <c r="B106" i="1"/>
  <c r="B101" i="1"/>
  <c r="B88" i="1"/>
  <c r="B83" i="1"/>
  <c r="B79" i="1"/>
  <c r="B71" i="1"/>
  <c r="B47" i="1"/>
  <c r="B39" i="1"/>
  <c r="B27" i="1"/>
  <c r="B21" i="1"/>
  <c r="E163" i="1" l="1"/>
  <c r="D170" i="1"/>
  <c r="E158" i="1"/>
  <c r="D160" i="1"/>
  <c r="E152" i="1"/>
  <c r="D155" i="1"/>
  <c r="E145" i="1"/>
  <c r="E149" i="1" s="1"/>
  <c r="D149" i="1"/>
  <c r="E141" i="1"/>
  <c r="E142" i="1" s="1"/>
  <c r="D142" i="1"/>
  <c r="E126" i="1"/>
  <c r="D138" i="1"/>
  <c r="D123" i="1"/>
  <c r="E118" i="1"/>
  <c r="D115" i="1"/>
  <c r="E109" i="1"/>
  <c r="E104" i="1"/>
  <c r="D106" i="1"/>
  <c r="E100" i="1"/>
  <c r="D101" i="1"/>
  <c r="E91" i="1"/>
  <c r="E97" i="1" s="1"/>
  <c r="D97" i="1"/>
  <c r="E86" i="1"/>
  <c r="E88" i="1" s="1"/>
  <c r="D88" i="1"/>
  <c r="E82" i="1"/>
  <c r="E83" i="1" s="1"/>
  <c r="D83" i="1"/>
  <c r="E74" i="1"/>
  <c r="D79" i="1"/>
  <c r="E70" i="1"/>
  <c r="F70" i="1" s="1"/>
  <c r="D71" i="1"/>
  <c r="D67" i="1"/>
  <c r="E63" i="1"/>
  <c r="H63" i="1" s="1"/>
  <c r="E55" i="1"/>
  <c r="D60" i="1"/>
  <c r="E50" i="1"/>
  <c r="D52" i="1"/>
  <c r="E30" i="1"/>
  <c r="D21" i="1"/>
  <c r="E17" i="1"/>
  <c r="D14" i="1"/>
  <c r="E10" i="1"/>
  <c r="E5" i="1"/>
  <c r="D7" i="1"/>
  <c r="F435" i="4"/>
  <c r="H178" i="1"/>
  <c r="G178" i="1"/>
  <c r="F178" i="1"/>
  <c r="E33" i="1"/>
  <c r="E39" i="1" s="1"/>
  <c r="D39" i="1"/>
  <c r="H64" i="1"/>
  <c r="G64" i="1"/>
  <c r="F64" i="1"/>
  <c r="E160" i="1"/>
  <c r="E71" i="1"/>
  <c r="F66" i="1"/>
  <c r="F65" i="1"/>
  <c r="F63" i="1"/>
  <c r="F59" i="1"/>
  <c r="F58" i="1"/>
  <c r="F57" i="1"/>
  <c r="F56" i="1"/>
  <c r="F55" i="1"/>
  <c r="F51" i="1"/>
  <c r="F50" i="1"/>
  <c r="F43" i="1"/>
  <c r="G20" i="1"/>
  <c r="G19" i="1"/>
  <c r="G18" i="1"/>
  <c r="G17" i="1"/>
  <c r="G5" i="1"/>
  <c r="C181" i="1"/>
  <c r="E101" i="1"/>
  <c r="D27" i="1"/>
  <c r="F18" i="1"/>
  <c r="H176" i="1"/>
  <c r="G176" i="1"/>
  <c r="F176" i="1"/>
  <c r="H96" i="1"/>
  <c r="G96" i="1"/>
  <c r="F96" i="1"/>
  <c r="H95" i="1"/>
  <c r="H59" i="1"/>
  <c r="G59" i="1"/>
  <c r="G57" i="1"/>
  <c r="H56" i="1"/>
  <c r="E25" i="1"/>
  <c r="F25" i="1" s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G56" i="1"/>
  <c r="H55" i="1"/>
  <c r="G55" i="1"/>
  <c r="E45" i="1"/>
  <c r="H175" i="1"/>
  <c r="G175" i="1"/>
  <c r="F175" i="1"/>
  <c r="E170" i="1"/>
  <c r="E155" i="1"/>
  <c r="E138" i="1"/>
  <c r="E123" i="1"/>
  <c r="E115" i="1"/>
  <c r="E106" i="1"/>
  <c r="E79" i="1"/>
  <c r="E67" i="1"/>
  <c r="H58" i="1"/>
  <c r="G58" i="1"/>
  <c r="H57" i="1"/>
  <c r="E60" i="1"/>
  <c r="E52" i="1"/>
  <c r="E21" i="1"/>
  <c r="F11" i="1"/>
  <c r="E14" i="1"/>
  <c r="E7" i="1"/>
  <c r="B181" i="1"/>
  <c r="F158" i="1"/>
  <c r="H169" i="1"/>
  <c r="G169" i="1"/>
  <c r="F169" i="1"/>
  <c r="H168" i="1"/>
  <c r="G168" i="1"/>
  <c r="F168" i="1"/>
  <c r="H167" i="1"/>
  <c r="F167" i="1"/>
  <c r="G167" i="1"/>
  <c r="H66" i="1"/>
  <c r="G66" i="1"/>
  <c r="G44" i="1"/>
  <c r="H46" i="1"/>
  <c r="F46" i="1"/>
  <c r="H44" i="1"/>
  <c r="F44" i="1"/>
  <c r="H43" i="1"/>
  <c r="G43" i="1"/>
  <c r="G46" i="1"/>
  <c r="G13" i="1"/>
  <c r="F13" i="1"/>
  <c r="G6" i="1"/>
  <c r="F6" i="1"/>
  <c r="F121" i="1"/>
  <c r="H147" i="1"/>
  <c r="G147" i="1"/>
  <c r="F147" i="1"/>
  <c r="H135" i="1"/>
  <c r="G135" i="1"/>
  <c r="F135" i="1"/>
  <c r="G121" i="1"/>
  <c r="H121" i="1"/>
  <c r="F75" i="1"/>
  <c r="H75" i="1"/>
  <c r="G75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59" i="1"/>
  <c r="G159" i="1"/>
  <c r="F159" i="1"/>
  <c r="H158" i="1"/>
  <c r="G158" i="1"/>
  <c r="H154" i="1"/>
  <c r="G154" i="1"/>
  <c r="F154" i="1"/>
  <c r="H153" i="1"/>
  <c r="G153" i="1"/>
  <c r="F153" i="1"/>
  <c r="H152" i="1"/>
  <c r="G152" i="1"/>
  <c r="F152" i="1"/>
  <c r="H148" i="1"/>
  <c r="G148" i="1"/>
  <c r="F148" i="1"/>
  <c r="H146" i="1"/>
  <c r="G146" i="1"/>
  <c r="F146" i="1"/>
  <c r="H145" i="1"/>
  <c r="G145" i="1"/>
  <c r="F145" i="1"/>
  <c r="H141" i="1"/>
  <c r="H142" i="1" s="1"/>
  <c r="G141" i="1"/>
  <c r="G142" i="1" s="1"/>
  <c r="F141" i="1"/>
  <c r="F142" i="1" s="1"/>
  <c r="H137" i="1"/>
  <c r="F137" i="1"/>
  <c r="G137" i="1"/>
  <c r="H136" i="1"/>
  <c r="G136" i="1"/>
  <c r="F136" i="1"/>
  <c r="F134" i="1"/>
  <c r="H134" i="1"/>
  <c r="G134" i="1"/>
  <c r="H133" i="1"/>
  <c r="G133" i="1"/>
  <c r="F133" i="1"/>
  <c r="F132" i="1"/>
  <c r="H132" i="1"/>
  <c r="G132" i="1"/>
  <c r="H131" i="1"/>
  <c r="G131" i="1"/>
  <c r="F131" i="1"/>
  <c r="H130" i="1"/>
  <c r="G130" i="1"/>
  <c r="F130" i="1"/>
  <c r="H129" i="1"/>
  <c r="G129" i="1"/>
  <c r="F129" i="1"/>
  <c r="H128" i="1"/>
  <c r="F128" i="1"/>
  <c r="G128" i="1"/>
  <c r="H127" i="1"/>
  <c r="G127" i="1"/>
  <c r="F127" i="1"/>
  <c r="H126" i="1"/>
  <c r="G126" i="1"/>
  <c r="F126" i="1"/>
  <c r="H122" i="1"/>
  <c r="G122" i="1"/>
  <c r="F122" i="1"/>
  <c r="H120" i="1"/>
  <c r="G120" i="1"/>
  <c r="F120" i="1"/>
  <c r="H119" i="1"/>
  <c r="G119" i="1"/>
  <c r="F119" i="1"/>
  <c r="H118" i="1"/>
  <c r="G118" i="1"/>
  <c r="F118" i="1"/>
  <c r="H114" i="1"/>
  <c r="G114" i="1"/>
  <c r="F114" i="1"/>
  <c r="F113" i="1"/>
  <c r="H113" i="1"/>
  <c r="G113" i="1"/>
  <c r="F112" i="1"/>
  <c r="G112" i="1"/>
  <c r="H112" i="1"/>
  <c r="H111" i="1"/>
  <c r="G111" i="1"/>
  <c r="F111" i="1"/>
  <c r="H110" i="1"/>
  <c r="G110" i="1"/>
  <c r="F110" i="1"/>
  <c r="H109" i="1"/>
  <c r="G109" i="1"/>
  <c r="F109" i="1"/>
  <c r="H105" i="1"/>
  <c r="G105" i="1"/>
  <c r="F105" i="1"/>
  <c r="H104" i="1"/>
  <c r="H106" i="1" s="1"/>
  <c r="G104" i="1"/>
  <c r="G106" i="1" s="1"/>
  <c r="F104" i="1"/>
  <c r="H100" i="1"/>
  <c r="H101" i="1" s="1"/>
  <c r="G100" i="1"/>
  <c r="G101" i="1" s="1"/>
  <c r="F100" i="1"/>
  <c r="F101" i="1" s="1"/>
  <c r="H87" i="1"/>
  <c r="G87" i="1"/>
  <c r="F87" i="1"/>
  <c r="H86" i="1"/>
  <c r="G86" i="1"/>
  <c r="G88" i="1" s="1"/>
  <c r="F86" i="1"/>
  <c r="G82" i="1"/>
  <c r="G83" i="1" s="1"/>
  <c r="F82" i="1"/>
  <c r="F83" i="1" s="1"/>
  <c r="H82" i="1"/>
  <c r="H83" i="1" s="1"/>
  <c r="H78" i="1"/>
  <c r="G78" i="1"/>
  <c r="F78" i="1"/>
  <c r="G77" i="1"/>
  <c r="H77" i="1"/>
  <c r="F77" i="1"/>
  <c r="H76" i="1"/>
  <c r="G76" i="1"/>
  <c r="F76" i="1"/>
  <c r="H74" i="1"/>
  <c r="G74" i="1"/>
  <c r="F74" i="1"/>
  <c r="H70" i="1"/>
  <c r="H71" i="1" s="1"/>
  <c r="G70" i="1"/>
  <c r="G71" i="1" s="1"/>
  <c r="H65" i="1"/>
  <c r="G65" i="1"/>
  <c r="G63" i="1"/>
  <c r="F38" i="1"/>
  <c r="G38" i="1"/>
  <c r="H38" i="1"/>
  <c r="H37" i="1"/>
  <c r="G37" i="1"/>
  <c r="F37" i="1"/>
  <c r="H36" i="1"/>
  <c r="G36" i="1"/>
  <c r="F36" i="1"/>
  <c r="H35" i="1"/>
  <c r="G35" i="1"/>
  <c r="F35" i="1"/>
  <c r="H34" i="1"/>
  <c r="G34" i="1"/>
  <c r="F34" i="1"/>
  <c r="H32" i="1"/>
  <c r="G32" i="1"/>
  <c r="F32" i="1"/>
  <c r="F31" i="1"/>
  <c r="H31" i="1"/>
  <c r="G31" i="1"/>
  <c r="H30" i="1"/>
  <c r="F30" i="1"/>
  <c r="G30" i="1"/>
  <c r="H26" i="1"/>
  <c r="G26" i="1"/>
  <c r="F26" i="1"/>
  <c r="H24" i="1"/>
  <c r="F24" i="1"/>
  <c r="G24" i="1"/>
  <c r="H20" i="1"/>
  <c r="F20" i="1"/>
  <c r="F19" i="1"/>
  <c r="H19" i="1"/>
  <c r="H18" i="1"/>
  <c r="H17" i="1"/>
  <c r="F17" i="1"/>
  <c r="H12" i="1"/>
  <c r="G12" i="1"/>
  <c r="F12" i="1"/>
  <c r="G11" i="1"/>
  <c r="G10" i="1"/>
  <c r="F10" i="1"/>
  <c r="H10" i="1"/>
  <c r="H14" i="1" s="1"/>
  <c r="H5" i="1"/>
  <c r="H7" i="1" s="1"/>
  <c r="F5" i="1"/>
  <c r="G97" i="1" l="1"/>
  <c r="F97" i="1"/>
  <c r="H88" i="1"/>
  <c r="H97" i="1"/>
  <c r="G14" i="1"/>
  <c r="G33" i="1"/>
  <c r="G39" i="1" s="1"/>
  <c r="F33" i="1"/>
  <c r="F39" i="1" s="1"/>
  <c r="H33" i="1"/>
  <c r="H39" i="1" s="1"/>
  <c r="F88" i="1"/>
  <c r="H60" i="1"/>
  <c r="G60" i="1"/>
  <c r="G160" i="1"/>
  <c r="H155" i="1"/>
  <c r="F27" i="1"/>
  <c r="G25" i="1"/>
  <c r="G27" i="1" s="1"/>
  <c r="E27" i="1"/>
  <c r="H21" i="1"/>
  <c r="F52" i="1"/>
  <c r="G170" i="1"/>
  <c r="H160" i="1"/>
  <c r="G21" i="1"/>
  <c r="F21" i="1"/>
  <c r="F14" i="1"/>
  <c r="H67" i="1"/>
  <c r="D47" i="1"/>
  <c r="E42" i="1"/>
  <c r="H170" i="1"/>
  <c r="F170" i="1"/>
  <c r="F160" i="1"/>
  <c r="F155" i="1"/>
  <c r="G155" i="1"/>
  <c r="G149" i="1"/>
  <c r="F149" i="1"/>
  <c r="H149" i="1"/>
  <c r="H138" i="1"/>
  <c r="G138" i="1"/>
  <c r="F138" i="1"/>
  <c r="F123" i="1"/>
  <c r="G123" i="1"/>
  <c r="H123" i="1"/>
  <c r="H115" i="1"/>
  <c r="F115" i="1"/>
  <c r="G115" i="1"/>
  <c r="F106" i="1"/>
  <c r="H79" i="1"/>
  <c r="G79" i="1"/>
  <c r="F79" i="1"/>
  <c r="F71" i="1"/>
  <c r="G67" i="1"/>
  <c r="F67" i="1"/>
  <c r="F60" i="1"/>
  <c r="F7" i="1"/>
  <c r="G7" i="1"/>
  <c r="H25" i="1"/>
  <c r="H27" i="1" s="1"/>
  <c r="H45" i="1"/>
  <c r="G45" i="1"/>
  <c r="F45" i="1"/>
  <c r="E47" i="1" l="1"/>
  <c r="F42" i="1"/>
  <c r="H42" i="1"/>
  <c r="H47" i="1" s="1"/>
  <c r="G42" i="1"/>
  <c r="G47" i="1" s="1"/>
  <c r="F47" i="1" l="1"/>
  <c r="E174" i="1" l="1"/>
  <c r="H174" i="1"/>
  <c r="G174" i="1" l="1"/>
  <c r="F174" i="1"/>
  <c r="E177" i="1"/>
  <c r="H177" i="1" l="1"/>
  <c r="F177" i="1"/>
  <c r="G177" i="1"/>
  <c r="E173" i="1"/>
  <c r="G173" i="1" s="1"/>
  <c r="G179" i="1" s="1"/>
  <c r="G181" i="1" s="1"/>
  <c r="F173" i="1"/>
  <c r="F179" i="1" s="1"/>
  <c r="F181" i="1" s="1"/>
  <c r="H173" i="1"/>
  <c r="H179" i="1" s="1"/>
  <c r="H181" i="1" s="1"/>
  <c r="D179" i="1"/>
  <c r="D181" i="1"/>
  <c r="E179" i="1"/>
  <c r="E181" i="1"/>
</calcChain>
</file>

<file path=xl/sharedStrings.xml><?xml version="1.0" encoding="utf-8"?>
<sst xmlns="http://schemas.openxmlformats.org/spreadsheetml/2006/main" count="1903" uniqueCount="570">
  <si>
    <t xml:space="preserve">   LINE ITEM</t>
  </si>
  <si>
    <t>BUDGET</t>
  </si>
  <si>
    <t>CURRENT INVOICE</t>
  </si>
  <si>
    <t>TO BE COMPLETED</t>
  </si>
  <si>
    <t>OVER BUDGET</t>
  </si>
  <si>
    <t>CHANGE ORDERS</t>
  </si>
  <si>
    <t xml:space="preserve">  DESIGN SERVICES</t>
  </si>
  <si>
    <t xml:space="preserve">   Plan Printing &amp; Photocopying</t>
  </si>
  <si>
    <t xml:space="preserve">   DESIGN SERVICES — Subtotal</t>
  </si>
  <si>
    <t xml:space="preserve">  PERMITS &amp; HOME WARRANTY</t>
  </si>
  <si>
    <t xml:space="preserve">   PERMITS &amp; HOME WARRANTY — Subtotal</t>
  </si>
  <si>
    <t xml:space="preserve">  ENGINEERING FEES</t>
  </si>
  <si>
    <t xml:space="preserve">   ENGINEERING FEES — Subtotal</t>
  </si>
  <si>
    <t xml:space="preserve">  SITE WORK</t>
  </si>
  <si>
    <t xml:space="preserve">   SITE WORK — Subtotal</t>
  </si>
  <si>
    <t xml:space="preserve">  FOUNDATION</t>
  </si>
  <si>
    <t xml:space="preserve">   FOUNDATION — Subtotal</t>
  </si>
  <si>
    <t xml:space="preserve">  FRAMING</t>
  </si>
  <si>
    <t xml:space="preserve">   FRAMING — Subtotal</t>
  </si>
  <si>
    <t xml:space="preserve">  WINDOWS</t>
  </si>
  <si>
    <t xml:space="preserve">   WINDOWS — Subtotal</t>
  </si>
  <si>
    <t xml:space="preserve">  DOORS</t>
  </si>
  <si>
    <t xml:space="preserve">   DOORS — Subtotal</t>
  </si>
  <si>
    <t xml:space="preserve">  ELECTRICAL</t>
  </si>
  <si>
    <t xml:space="preserve">   ELECTRICAL — Subtotal</t>
  </si>
  <si>
    <t xml:space="preserve">  PLUMBING</t>
  </si>
  <si>
    <t xml:space="preserve">   PLUMBING — Subtotal</t>
  </si>
  <si>
    <t xml:space="preserve">  HVAC</t>
  </si>
  <si>
    <t xml:space="preserve">   HVAC — Subtotal</t>
  </si>
  <si>
    <t xml:space="preserve">  ROOFING</t>
  </si>
  <si>
    <t xml:space="preserve">   ROOFING — Subtotal</t>
  </si>
  <si>
    <t xml:space="preserve">  INSULATION &amp; DRYWALL</t>
  </si>
  <si>
    <t xml:space="preserve">   INSULATION &amp; DRYWALL — Subtotal</t>
  </si>
  <si>
    <t xml:space="preserve">  EXTERIOR VENEER</t>
  </si>
  <si>
    <t xml:space="preserve">   EXTERIOR VENEER — Subtotal</t>
  </si>
  <si>
    <t xml:space="preserve">  MASONRY</t>
  </si>
  <si>
    <t xml:space="preserve">   MASONRY — Subtotal</t>
  </si>
  <si>
    <t xml:space="preserve">  CABINETRY &amp; COUNTERTOPS</t>
  </si>
  <si>
    <t xml:space="preserve">   CABINETRY &amp; COUNTERTOPS — Subtotal</t>
  </si>
  <si>
    <t xml:space="preserve">  INTERIOR FINISHING</t>
  </si>
  <si>
    <t xml:space="preserve">   INTERIOR FINISHING — Subtotal</t>
  </si>
  <si>
    <t xml:space="preserve">  WOOD FLOOR COVERINGS</t>
  </si>
  <si>
    <t xml:space="preserve">   WOOD FLOOR COVERINGS — Subtotal</t>
  </si>
  <si>
    <t xml:space="preserve">  TILE</t>
  </si>
  <si>
    <t xml:space="preserve">   TILE — Subtotal</t>
  </si>
  <si>
    <t xml:space="preserve">  PAINT</t>
  </si>
  <si>
    <t xml:space="preserve">   PAINT — Subtotal</t>
  </si>
  <si>
    <t xml:space="preserve">  EXTERIOR HARDSCAPE</t>
  </si>
  <si>
    <t xml:space="preserve">   EXTERIOR HARDSCAPE — Subtotal</t>
  </si>
  <si>
    <t xml:space="preserve">  CONSTRUCTION CLEAN UP</t>
  </si>
  <si>
    <t xml:space="preserve">   CONSTRUCTION CLEAN UP — Subtotal</t>
  </si>
  <si>
    <t xml:space="preserve">  MISCELLANEOUS</t>
  </si>
  <si>
    <t xml:space="preserve">   MISCELLANEOUS — Subtotal</t>
  </si>
  <si>
    <t>PROJECT TOTAL</t>
  </si>
  <si>
    <t>Date</t>
  </si>
  <si>
    <t>Name</t>
  </si>
  <si>
    <t>Billing Status</t>
  </si>
  <si>
    <t>Duration</t>
  </si>
  <si>
    <t>Amount</t>
  </si>
  <si>
    <t>Unbilled</t>
  </si>
  <si>
    <t>James McMann</t>
  </si>
  <si>
    <t>Type</t>
  </si>
  <si>
    <t>Num</t>
  </si>
  <si>
    <t>Memo</t>
  </si>
  <si>
    <t>Ecolibrium Energy Solutions Inc.</t>
  </si>
  <si>
    <t>Bill</t>
  </si>
  <si>
    <t>Total Ecolibrium Energy Solutions Inc.</t>
  </si>
  <si>
    <t>JE Anderson &amp; Associates</t>
  </si>
  <si>
    <t>Total JE Anderson &amp; Associates</t>
  </si>
  <si>
    <t>Kivela Contracting Ltd.</t>
  </si>
  <si>
    <t>Total Kivela Contracting Ltd.</t>
  </si>
  <si>
    <t>Lewkowich Engineering Associates Ltd</t>
  </si>
  <si>
    <t>Total Lewkowich Engineering Associates Ltd</t>
  </si>
  <si>
    <t>Print Three Nanaimo</t>
  </si>
  <si>
    <t>Total Print Three Nanaimo</t>
  </si>
  <si>
    <t xml:space="preserve">Total Vendor Detail </t>
  </si>
  <si>
    <t>Building Permit Fees</t>
  </si>
  <si>
    <t>Home Warranty Registration &amp; Fees</t>
  </si>
  <si>
    <t>BC Housing Registration Fee</t>
  </si>
  <si>
    <t>DCC Fees</t>
  </si>
  <si>
    <t>Energy Advisor</t>
  </si>
  <si>
    <t>Land Survey</t>
  </si>
  <si>
    <t>Structural Engineering</t>
  </si>
  <si>
    <t>Backfill, Perimeter &amp; Drain Material</t>
  </si>
  <si>
    <t>Excavation, Backfill, Perimeter &amp; Drain Labour</t>
  </si>
  <si>
    <t>Septic</t>
  </si>
  <si>
    <t>Footings &amp; Foundation Labor</t>
  </si>
  <si>
    <t>Slab Prep - Material</t>
  </si>
  <si>
    <t>Garage Concrete Slab</t>
  </si>
  <si>
    <t>Concrete Skim Coat Materials</t>
  </si>
  <si>
    <t>Garage Concrete Slab Finishing Labor</t>
  </si>
  <si>
    <t>Concrete Pump Truck</t>
  </si>
  <si>
    <t>Damproofing</t>
  </si>
  <si>
    <t>Roof Trusses</t>
  </si>
  <si>
    <t>Floor System</t>
  </si>
  <si>
    <t>Engineering Hardware</t>
  </si>
  <si>
    <t>Extra</t>
  </si>
  <si>
    <t>Windows</t>
  </si>
  <si>
    <t>Exterior Doors</t>
  </si>
  <si>
    <t>Interior Doors</t>
  </si>
  <si>
    <t>Garage Doors</t>
  </si>
  <si>
    <t>Door Hardware</t>
  </si>
  <si>
    <t>Sliding Door</t>
  </si>
  <si>
    <t>Electrical Rough In &amp; Finish</t>
  </si>
  <si>
    <t>Electrical Fixtures</t>
  </si>
  <si>
    <t>BC Hydro</t>
  </si>
  <si>
    <t>Plumbing Rough In &amp; Finish</t>
  </si>
  <si>
    <t>Mechanical Rough In &amp; Finish</t>
  </si>
  <si>
    <t>NAVIEN ON DEMAND</t>
  </si>
  <si>
    <t>NAPOLEON GAS FIRE PLACE</t>
  </si>
  <si>
    <t>GAS LINES</t>
  </si>
  <si>
    <t>Gas/Propane Connection</t>
  </si>
  <si>
    <t>Roofing Supply &amp; Install</t>
  </si>
  <si>
    <t>Siding Materials</t>
  </si>
  <si>
    <t>Soffit Supply &amp; Install</t>
  </si>
  <si>
    <t>Gutters Supply &amp; Install</t>
  </si>
  <si>
    <t>Trim Labour</t>
  </si>
  <si>
    <t>Cedar Soffit</t>
  </si>
  <si>
    <t>Stucco</t>
  </si>
  <si>
    <t>Stone Fireplace</t>
  </si>
  <si>
    <t>Cabinetry Supply &amp; Install</t>
  </si>
  <si>
    <t>Countertop Supply &amp; Install</t>
  </si>
  <si>
    <t>Blinds</t>
  </si>
  <si>
    <t>Finishing Carpentry</t>
  </si>
  <si>
    <t>Interior Trim Materials</t>
  </si>
  <si>
    <t>Closet Shelving</t>
  </si>
  <si>
    <t>Bathroom Hardware</t>
  </si>
  <si>
    <t>Shower Glass Doors</t>
  </si>
  <si>
    <t>Mirrors</t>
  </si>
  <si>
    <t>Flooring Material</t>
  </si>
  <si>
    <t>Flooring Install Labour</t>
  </si>
  <si>
    <t>Floor Sanding &amp; Prep / Self living</t>
  </si>
  <si>
    <t>Protective Floor Covering</t>
  </si>
  <si>
    <t>Custom Stair Nosings</t>
  </si>
  <si>
    <t>Floor Tile Material</t>
  </si>
  <si>
    <t>Floor Tie Install Labour</t>
  </si>
  <si>
    <t>Wall Tile Prep</t>
  </si>
  <si>
    <t>Wall Tile Material</t>
  </si>
  <si>
    <t>Wall Tile Labour</t>
  </si>
  <si>
    <t>Backsplash Tile Material</t>
  </si>
  <si>
    <t>Backsplash Tile Labour</t>
  </si>
  <si>
    <t>Heated Floor Prep</t>
  </si>
  <si>
    <t>Heated floor Thermostat</t>
  </si>
  <si>
    <t>Heated Floor Cables</t>
  </si>
  <si>
    <t>Custom Niche</t>
  </si>
  <si>
    <t>Schluter Trim</t>
  </si>
  <si>
    <t>Interior &amp; Exterior Paint</t>
  </si>
  <si>
    <t>Patio/Drives/Walkways Concrete &amp; Material</t>
  </si>
  <si>
    <t>Patio/Drives/Walkways Finishing Labour</t>
  </si>
  <si>
    <t>Retaining Walls Concrete &amp; Material</t>
  </si>
  <si>
    <t>Landscaping</t>
  </si>
  <si>
    <t>Disposal &amp; Dump Fees</t>
  </si>
  <si>
    <t>Dumpster Rental</t>
  </si>
  <si>
    <t>Final Site Clean</t>
  </si>
  <si>
    <t xml:space="preserve">  RENTAL&amp; JOBSITE FACILITIES</t>
  </si>
  <si>
    <t>Specialty Tool &amp; Equipment Rental</t>
  </si>
  <si>
    <t xml:space="preserve">   RENTAL&amp; JOBSITE FACILITIES— Subtotal</t>
  </si>
  <si>
    <t>Appliances</t>
  </si>
  <si>
    <t>Appraisal</t>
  </si>
  <si>
    <t>Insurance</t>
  </si>
  <si>
    <t>Lawyer Fees</t>
  </si>
  <si>
    <t>Interest</t>
  </si>
  <si>
    <t>Transfer Tax</t>
  </si>
  <si>
    <t>Furniture</t>
  </si>
  <si>
    <t>Insulation</t>
  </si>
  <si>
    <t>Drywall</t>
  </si>
  <si>
    <t>Seth</t>
  </si>
  <si>
    <t>Aaron</t>
  </si>
  <si>
    <t>Fielding</t>
  </si>
  <si>
    <t xml:space="preserve">  Mcmann Labour Site work - Foundation- Framing- Siding - Finishing</t>
  </si>
  <si>
    <t xml:space="preserve">   Mcmann Labour  — Subtotal</t>
  </si>
  <si>
    <t>Fielding K Benton</t>
  </si>
  <si>
    <t>05 Foundation:Footings &amp; Foundation Labor</t>
  </si>
  <si>
    <t>Alaa Kadah</t>
  </si>
  <si>
    <t>Aaron Maskill</t>
  </si>
  <si>
    <t>Total 05 Foundation:Footings &amp; Foundation Labor</t>
  </si>
  <si>
    <t>06 Framing:Framing Labor</t>
  </si>
  <si>
    <t>Seth Bibbs</t>
  </si>
  <si>
    <t>Jason A Kirstein</t>
  </si>
  <si>
    <t>Alexander D Gazzola</t>
  </si>
  <si>
    <t>Total 06 Framing:Framing Labor</t>
  </si>
  <si>
    <t>06 Framing:Timber Framing Labour Cost</t>
  </si>
  <si>
    <t>Total 06 Framing:Timber Framing Labour Cost</t>
  </si>
  <si>
    <t>21 Exterior Areas &amp; Finishes:Landscaping</t>
  </si>
  <si>
    <t>Total 21 Exterior Areas &amp; Finishes:Landscaping</t>
  </si>
  <si>
    <t>24 Supervision:Project Managment</t>
  </si>
  <si>
    <t>Total 24 Supervision:Project Managment</t>
  </si>
  <si>
    <t>04 Site Work:Excavation,Backfill,Perimeter &amp;</t>
  </si>
  <si>
    <t>Total 04 Site Work:Excavation,Backfill,Perimeter &amp;</t>
  </si>
  <si>
    <t>1047335 B.C. LTD (dba Complete Damp Proof</t>
  </si>
  <si>
    <t>11452</t>
  </si>
  <si>
    <t>Total 1047335 B.C. LTD (dba Complete Damp Proof</t>
  </si>
  <si>
    <t>Andrew Sheret Ltd</t>
  </si>
  <si>
    <t>03-084405</t>
  </si>
  <si>
    <t>03-084596</t>
  </si>
  <si>
    <t>03-085259</t>
  </si>
  <si>
    <t>03-085292</t>
  </si>
  <si>
    <t>03-085458</t>
  </si>
  <si>
    <t>Credit</t>
  </si>
  <si>
    <t>03-085563</t>
  </si>
  <si>
    <t>03-085864</t>
  </si>
  <si>
    <t>03-090686</t>
  </si>
  <si>
    <t>03-092447</t>
  </si>
  <si>
    <t>Total Andrew Sheret Ltd</t>
  </si>
  <si>
    <t>BC Housing Licensing &amp; Consumer Services</t>
  </si>
  <si>
    <t>875433</t>
  </si>
  <si>
    <t>Total BC Housing Licensing &amp; Consumer Services</t>
  </si>
  <si>
    <t>City of Nanaimo</t>
  </si>
  <si>
    <t>BP131412</t>
  </si>
  <si>
    <t>Credit Card Charge</t>
  </si>
  <si>
    <t>Total City of Nanaimo</t>
  </si>
  <si>
    <t>Coast To Coast Equipment Rentals LTD</t>
  </si>
  <si>
    <t>R1692-1</t>
  </si>
  <si>
    <t>Total Coast To Coast Equipment Rentals LTD</t>
  </si>
  <si>
    <t>Coastline Plumbing Ltd</t>
  </si>
  <si>
    <t>3142</t>
  </si>
  <si>
    <t>Footings and Foundation Material</t>
  </si>
  <si>
    <t>Total Coastline Plumbing Ltd</t>
  </si>
  <si>
    <t>DBL Disposal Services Ltd</t>
  </si>
  <si>
    <t>275197</t>
  </si>
  <si>
    <t>Portable Toilet</t>
  </si>
  <si>
    <t>275170</t>
  </si>
  <si>
    <t>284099</t>
  </si>
  <si>
    <t>295928</t>
  </si>
  <si>
    <t>Total DBL Disposal Services Ltd</t>
  </si>
  <si>
    <t>2354</t>
  </si>
  <si>
    <t>Harleen Parmar</t>
  </si>
  <si>
    <t>Cheque</t>
  </si>
  <si>
    <t>429</t>
  </si>
  <si>
    <t>Total Harleen Parmar</t>
  </si>
  <si>
    <t>Heidelberg Materials Canada Limited</t>
  </si>
  <si>
    <t>3183511</t>
  </si>
  <si>
    <t>Foundation &amp; Footings concrete</t>
  </si>
  <si>
    <t>3184417</t>
  </si>
  <si>
    <t>3185376</t>
  </si>
  <si>
    <t>Total Heidelberg Materials Canada Limited</t>
  </si>
  <si>
    <t>Immersive Design Inc</t>
  </si>
  <si>
    <t>25103103</t>
  </si>
  <si>
    <t>Total Immersive Design Inc</t>
  </si>
  <si>
    <t>Island Aggregates Ltd</t>
  </si>
  <si>
    <t>Total Island Aggregates Ltd</t>
  </si>
  <si>
    <t>Island Concrete Pumping Ltd</t>
  </si>
  <si>
    <t>28128</t>
  </si>
  <si>
    <t>28163</t>
  </si>
  <si>
    <t>28193</t>
  </si>
  <si>
    <t>Total Island Concrete Pumping Ltd</t>
  </si>
  <si>
    <t>J. Mayzes Excavating Ltd</t>
  </si>
  <si>
    <t>107036</t>
  </si>
  <si>
    <t>107038</t>
  </si>
  <si>
    <t>107092</t>
  </si>
  <si>
    <t>107093</t>
  </si>
  <si>
    <t>107094</t>
  </si>
  <si>
    <t>107101</t>
  </si>
  <si>
    <t>107102</t>
  </si>
  <si>
    <t>107100</t>
  </si>
  <si>
    <t>107099</t>
  </si>
  <si>
    <t>107098</t>
  </si>
  <si>
    <t>107150</t>
  </si>
  <si>
    <t>107147</t>
  </si>
  <si>
    <t>107149</t>
  </si>
  <si>
    <t>107146</t>
  </si>
  <si>
    <t>107148</t>
  </si>
  <si>
    <t>107145</t>
  </si>
  <si>
    <t>107156</t>
  </si>
  <si>
    <t>107255</t>
  </si>
  <si>
    <t>Total J. Mayzes Excavating Ltd</t>
  </si>
  <si>
    <t>0067336</t>
  </si>
  <si>
    <t>0067943</t>
  </si>
  <si>
    <t>JINGLEPOT GENERAL STORE</t>
  </si>
  <si>
    <t>326334</t>
  </si>
  <si>
    <t>328324</t>
  </si>
  <si>
    <t>333601</t>
  </si>
  <si>
    <t>Total JINGLEPOT GENERAL STORE</t>
  </si>
  <si>
    <t>JXN SOLUTIONS LTD</t>
  </si>
  <si>
    <t>invoice 31</t>
  </si>
  <si>
    <t>Total JXN SOLUTIONS LTD</t>
  </si>
  <si>
    <t>2657</t>
  </si>
  <si>
    <t>103889</t>
  </si>
  <si>
    <t>Geotechnical Engineering</t>
  </si>
  <si>
    <t>104329</t>
  </si>
  <si>
    <t>104785</t>
  </si>
  <si>
    <t>Maxxam Insurance Services</t>
  </si>
  <si>
    <t>0071798</t>
  </si>
  <si>
    <t>Total Maxxam Insurance Services</t>
  </si>
  <si>
    <t>Metal Supermarkets</t>
  </si>
  <si>
    <t>Total Metal Supermarkets</t>
  </si>
  <si>
    <t>Mid Island Co-op</t>
  </si>
  <si>
    <t>Total Mid Island Co-op</t>
  </si>
  <si>
    <t>Mission Island Group</t>
  </si>
  <si>
    <t>MR469858</t>
  </si>
  <si>
    <t>Total Mission Island Group</t>
  </si>
  <si>
    <t>New-Line Hose &amp; Fittings</t>
  </si>
  <si>
    <t>IN2735196</t>
  </si>
  <si>
    <t>IN2802284</t>
  </si>
  <si>
    <t>Framing Materials Cost</t>
  </si>
  <si>
    <t>Total New-Line Hose &amp; Fittings</t>
  </si>
  <si>
    <t>Pacific Net &amp; Twine</t>
  </si>
  <si>
    <t>02344505</t>
  </si>
  <si>
    <t>Total Pacific Net &amp; Twine</t>
  </si>
  <si>
    <t>Petro Canada</t>
  </si>
  <si>
    <t>133430</t>
  </si>
  <si>
    <t>133427</t>
  </si>
  <si>
    <t>133439</t>
  </si>
  <si>
    <t>311599</t>
  </si>
  <si>
    <t>Total Petro Canada</t>
  </si>
  <si>
    <t>Ply Gem Windows</t>
  </si>
  <si>
    <t>3238324</t>
  </si>
  <si>
    <t>3238325</t>
  </si>
  <si>
    <t>Total Ply Gem Windows</t>
  </si>
  <si>
    <t>5-36457</t>
  </si>
  <si>
    <t>Rona 221227- Mcmann Group</t>
  </si>
  <si>
    <t>103-25181721</t>
  </si>
  <si>
    <t>83323-10436131</t>
  </si>
  <si>
    <t xml:space="preserve"> 83323-10437221</t>
  </si>
  <si>
    <t>103-25183381</t>
  </si>
  <si>
    <t>104-27026191</t>
  </si>
  <si>
    <t>103?25178881</t>
  </si>
  <si>
    <t>103?25190601</t>
  </si>
  <si>
    <t>103-25198351</t>
  </si>
  <si>
    <t>103-25198321CR</t>
  </si>
  <si>
    <t>103-25198891</t>
  </si>
  <si>
    <t>103-25198921CR</t>
  </si>
  <si>
    <t>104-27039671CR</t>
  </si>
  <si>
    <t>104-27039681</t>
  </si>
  <si>
    <t>103-25198941</t>
  </si>
  <si>
    <t>83323-10444521</t>
  </si>
  <si>
    <t>83323-10445991</t>
  </si>
  <si>
    <t xml:space="preserve"> 103-25211741</t>
  </si>
  <si>
    <t>103-25214341</t>
  </si>
  <si>
    <t>103-25217871CR</t>
  </si>
  <si>
    <t>104-27064131</t>
  </si>
  <si>
    <t>103-25220951</t>
  </si>
  <si>
    <t>103-25222411</t>
  </si>
  <si>
    <t>103-25226061CR</t>
  </si>
  <si>
    <t>103-25226171</t>
  </si>
  <si>
    <t>83323-10454461</t>
  </si>
  <si>
    <t>104-27080521</t>
  </si>
  <si>
    <t>103-25239371</t>
  </si>
  <si>
    <t>x8229100382</t>
  </si>
  <si>
    <t>103?25246351</t>
  </si>
  <si>
    <t>103-25265461</t>
  </si>
  <si>
    <t>103-25272441</t>
  </si>
  <si>
    <t>103-25272451</t>
  </si>
  <si>
    <t>83323-10475251</t>
  </si>
  <si>
    <t>103-25281281</t>
  </si>
  <si>
    <t>83323-10477381</t>
  </si>
  <si>
    <t>103-25285711</t>
  </si>
  <si>
    <t>103-25288111</t>
  </si>
  <si>
    <t>83323-10478011</t>
  </si>
  <si>
    <t>103-25289941CR</t>
  </si>
  <si>
    <t xml:space="preserve"> 103-25289981</t>
  </si>
  <si>
    <t>103-25293991</t>
  </si>
  <si>
    <t xml:space="preserve"> 83323-10481301</t>
  </si>
  <si>
    <t>103-25296581</t>
  </si>
  <si>
    <t>103-25296751</t>
  </si>
  <si>
    <t>Total Rona 221227- Mcmann Group</t>
  </si>
  <si>
    <t>Slegg Building Materials</t>
  </si>
  <si>
    <t>IN5453830</t>
  </si>
  <si>
    <t>IN5464800</t>
  </si>
  <si>
    <t>IN5465953</t>
  </si>
  <si>
    <t>IN5466475</t>
  </si>
  <si>
    <t>IN5467679</t>
  </si>
  <si>
    <t>IN5468448</t>
  </si>
  <si>
    <t>IN5471570</t>
  </si>
  <si>
    <t>IN5478756</t>
  </si>
  <si>
    <t>IN5486064</t>
  </si>
  <si>
    <t>IN5486236</t>
  </si>
  <si>
    <t>IN5490588</t>
  </si>
  <si>
    <t>IN5496082</t>
  </si>
  <si>
    <t>IN5497521</t>
  </si>
  <si>
    <t>IN5501757</t>
  </si>
  <si>
    <t>IN5506232</t>
  </si>
  <si>
    <t>IN5507454</t>
  </si>
  <si>
    <t>CR442850</t>
  </si>
  <si>
    <t>IN5508162</t>
  </si>
  <si>
    <t>IN5508881</t>
  </si>
  <si>
    <t>IN5515738</t>
  </si>
  <si>
    <t>IN5516315</t>
  </si>
  <si>
    <t>IN5518906</t>
  </si>
  <si>
    <t>IN5523868</t>
  </si>
  <si>
    <t>IN5524358</t>
  </si>
  <si>
    <t>IN5524361</t>
  </si>
  <si>
    <t>IN5526061</t>
  </si>
  <si>
    <t>IN5527570</t>
  </si>
  <si>
    <t>IN5529480</t>
  </si>
  <si>
    <t>IN5529982</t>
  </si>
  <si>
    <t>IN5531157</t>
  </si>
  <si>
    <t>IN5552211</t>
  </si>
  <si>
    <t>IN5555954</t>
  </si>
  <si>
    <t>IN5556574</t>
  </si>
  <si>
    <t>IN5557196</t>
  </si>
  <si>
    <t>IN5558987</t>
  </si>
  <si>
    <t>IN5569181</t>
  </si>
  <si>
    <t>IN5569754</t>
  </si>
  <si>
    <t>IN5585950</t>
  </si>
  <si>
    <t>IN5588115</t>
  </si>
  <si>
    <t>IN5589995</t>
  </si>
  <si>
    <t>IN5591826</t>
  </si>
  <si>
    <t>IN3-0000758</t>
  </si>
  <si>
    <t>IN3-0000155</t>
  </si>
  <si>
    <t>IN3-0003254</t>
  </si>
  <si>
    <t>IN3-0008495</t>
  </si>
  <si>
    <t>IN3-0007736</t>
  </si>
  <si>
    <t>IN3-0007042</t>
  </si>
  <si>
    <t>IN3-0009718</t>
  </si>
  <si>
    <t>IN3-0009059</t>
  </si>
  <si>
    <t>IN3-0013767</t>
  </si>
  <si>
    <t>Total Slegg Building Materials</t>
  </si>
  <si>
    <t>Summit Tree Care Ltd.</t>
  </si>
  <si>
    <t>1713</t>
  </si>
  <si>
    <t>Total Summit Tree Care Ltd.</t>
  </si>
  <si>
    <t>Sunbelt Rentals</t>
  </si>
  <si>
    <t>79499564-0001</t>
  </si>
  <si>
    <t>Total Sunbelt Rentals</t>
  </si>
  <si>
    <t>The Home Depot</t>
  </si>
  <si>
    <t>70400241786</t>
  </si>
  <si>
    <t>Total The Home Depot</t>
  </si>
  <si>
    <t>Travelers Canada</t>
  </si>
  <si>
    <t>C1-0R0J3BB5</t>
  </si>
  <si>
    <t>Total Travelers Canada</t>
  </si>
  <si>
    <t>Westerra Equipment</t>
  </si>
  <si>
    <t>SI142163</t>
  </si>
  <si>
    <t>SI142162</t>
  </si>
  <si>
    <t>Total Westerra Equipment</t>
  </si>
  <si>
    <t>Westshore Structural Engineering Ltd</t>
  </si>
  <si>
    <t>2025-1506</t>
  </si>
  <si>
    <t>2026-0081</t>
  </si>
  <si>
    <t>2025-0188</t>
  </si>
  <si>
    <t>2026-0578</t>
  </si>
  <si>
    <t>Total Westshore Structural Engineering Ltd</t>
  </si>
  <si>
    <t>Xtend Rentals Tool Sales</t>
  </si>
  <si>
    <t>138262-3</t>
  </si>
  <si>
    <t>Total Xtend Rentals Tool Sales</t>
  </si>
  <si>
    <t>Total Timesheet</t>
  </si>
  <si>
    <t>Prev. Invoiced</t>
  </si>
  <si>
    <t>TOTAL INVOICED</t>
  </si>
  <si>
    <t>ABC Supply and Co</t>
  </si>
  <si>
    <t>257305</t>
  </si>
  <si>
    <t>Total ABC Supply and Co</t>
  </si>
  <si>
    <t>03-095733</t>
  </si>
  <si>
    <t>03-095751</t>
  </si>
  <si>
    <t>03-096046</t>
  </si>
  <si>
    <t>03-096401</t>
  </si>
  <si>
    <t>03-097184</t>
  </si>
  <si>
    <t>03-097706</t>
  </si>
  <si>
    <t>Bryan's Mechanical Ltd.</t>
  </si>
  <si>
    <t>696-D396-1</t>
  </si>
  <si>
    <t>Total Bryan's Mechanical Ltd.</t>
  </si>
  <si>
    <t>3266</t>
  </si>
  <si>
    <t>312822</t>
  </si>
  <si>
    <t>307837</t>
  </si>
  <si>
    <t>3193797</t>
  </si>
  <si>
    <t>Island Electric Company</t>
  </si>
  <si>
    <t>EWO-1278-1A</t>
  </si>
  <si>
    <t>EWO-1278-1</t>
  </si>
  <si>
    <t>Total Island Electric Company</t>
  </si>
  <si>
    <t>10728</t>
  </si>
  <si>
    <t>107289</t>
  </si>
  <si>
    <t>107290</t>
  </si>
  <si>
    <t>0068298</t>
  </si>
  <si>
    <t>MG56277</t>
  </si>
  <si>
    <t>MR486354</t>
  </si>
  <si>
    <t>MR489990</t>
  </si>
  <si>
    <t>MR490687</t>
  </si>
  <si>
    <t>MR491401</t>
  </si>
  <si>
    <t>MR492192</t>
  </si>
  <si>
    <t>103-25308511</t>
  </si>
  <si>
    <t xml:space="preserve"> 103-25308571</t>
  </si>
  <si>
    <t>103-25296181</t>
  </si>
  <si>
    <t>IN3-0019649</t>
  </si>
  <si>
    <t>IN3-0016606</t>
  </si>
  <si>
    <t>IN3-0019646</t>
  </si>
  <si>
    <t>IN3-0020173</t>
  </si>
  <si>
    <t>IN3-0024175</t>
  </si>
  <si>
    <t>IN3-0022959</t>
  </si>
  <si>
    <t>IN3-0032829</t>
  </si>
  <si>
    <t>IN3-0031604</t>
  </si>
  <si>
    <t>IN3-0037972</t>
  </si>
  <si>
    <t>IN3-0037952</t>
  </si>
  <si>
    <t>IN3-0041113</t>
  </si>
  <si>
    <t>IN3-0047474</t>
  </si>
  <si>
    <t>79986406-0001</t>
  </si>
  <si>
    <t>Westcoast Cutting and Coring Ltd.</t>
  </si>
  <si>
    <t>2115170</t>
  </si>
  <si>
    <t>Total Westcoast Cutting and Coring Ltd.</t>
  </si>
  <si>
    <t>Fielding K Benton.</t>
  </si>
  <si>
    <t>372</t>
  </si>
  <si>
    <t>Total Fielding K Benton.</t>
  </si>
  <si>
    <t>05 Foundation:Slap Prep Labor</t>
  </si>
  <si>
    <t>Total 05 Foundation:Slap Prep Labor</t>
  </si>
  <si>
    <t>14 Exterior Veneer:Siding Labor</t>
  </si>
  <si>
    <t>Total 14 Exterior Veneer:Siding Labor</t>
  </si>
  <si>
    <t>22 Construction Clean Up:Clean Labour</t>
  </si>
  <si>
    <t>Total 22 Construction Clean Up:Clean Labour</t>
  </si>
  <si>
    <t>Electrical Rough In &amp; Finish - Change Order</t>
  </si>
  <si>
    <t>Alaa &amp; Jason</t>
  </si>
  <si>
    <t>James / Abdul &amp; Kevin</t>
  </si>
  <si>
    <t>Credit Card Credit</t>
  </si>
  <si>
    <t>319570</t>
  </si>
  <si>
    <t>03-097946</t>
  </si>
  <si>
    <t>03-098148</t>
  </si>
  <si>
    <t>03-096011</t>
  </si>
  <si>
    <t>Direct</t>
  </si>
  <si>
    <t>Total BC Hydro</t>
  </si>
  <si>
    <t>Chevron</t>
  </si>
  <si>
    <t>Total Chevron</t>
  </si>
  <si>
    <t>Gregg Distributors (Nanaimo) Ltd.</t>
  </si>
  <si>
    <t>Total Gregg Distributors (Nanaimo) Ltd.</t>
  </si>
  <si>
    <t>1278-2</t>
  </si>
  <si>
    <t>107313</t>
  </si>
  <si>
    <t>107314</t>
  </si>
  <si>
    <t>107315</t>
  </si>
  <si>
    <t>107316</t>
  </si>
  <si>
    <t>107339</t>
  </si>
  <si>
    <t>107370</t>
  </si>
  <si>
    <t>107371</t>
  </si>
  <si>
    <t>107372</t>
  </si>
  <si>
    <t>107373</t>
  </si>
  <si>
    <t>107374</t>
  </si>
  <si>
    <t>107375</t>
  </si>
  <si>
    <t>0068578</t>
  </si>
  <si>
    <t>0068579</t>
  </si>
  <si>
    <t>Joel</t>
  </si>
  <si>
    <t>Total Joel</t>
  </si>
  <si>
    <t>Kyle Windle</t>
  </si>
  <si>
    <t>Total Kyle Windle</t>
  </si>
  <si>
    <t>Lanson's Drywall Systems Ltd</t>
  </si>
  <si>
    <t>6253</t>
  </si>
  <si>
    <t>Total Lanson's Drywall Systems Ltd</t>
  </si>
  <si>
    <t>105769</t>
  </si>
  <si>
    <t>MR492329</t>
  </si>
  <si>
    <t>180896</t>
  </si>
  <si>
    <t>180890</t>
  </si>
  <si>
    <t>146186</t>
  </si>
  <si>
    <t xml:space="preserve"> 103-25336661</t>
  </si>
  <si>
    <t>104-27207191</t>
  </si>
  <si>
    <t>104-27213641</t>
  </si>
  <si>
    <t>104-27215921CR</t>
  </si>
  <si>
    <t>83323-10504501</t>
  </si>
  <si>
    <t>Sharecost Rentals &amp; Sales</t>
  </si>
  <si>
    <t>Total Sharecost Rentals &amp; Sales</t>
  </si>
  <si>
    <t>SHERWIN-WILLIAMS</t>
  </si>
  <si>
    <t>Total SHERWIN-WILLIAMS</t>
  </si>
  <si>
    <t>IN3-0042723</t>
  </si>
  <si>
    <t>IN3-0059121</t>
  </si>
  <si>
    <t>IN3-0061416</t>
  </si>
  <si>
    <t>IN3-0060768</t>
  </si>
  <si>
    <t>IN3-0062343</t>
  </si>
  <si>
    <t>IN3-0062352</t>
  </si>
  <si>
    <t>IN3-0071112</t>
  </si>
  <si>
    <t>IN3-0072065</t>
  </si>
  <si>
    <t>IN3-0073392</t>
  </si>
  <si>
    <t>IN3-0074676</t>
  </si>
  <si>
    <t>IN3-0078455</t>
  </si>
  <si>
    <t>IN3-0078448</t>
  </si>
  <si>
    <t>IN3-0080226</t>
  </si>
  <si>
    <t>IN3-0082628</t>
  </si>
  <si>
    <t>IN3-0103949</t>
  </si>
  <si>
    <t>70400194340</t>
  </si>
  <si>
    <t>288075</t>
  </si>
  <si>
    <t>Walkers Saw Shop</t>
  </si>
  <si>
    <t>Total Walkers Saw Shop</t>
  </si>
  <si>
    <t>2026-0908</t>
  </si>
  <si>
    <t>Westwood Metals Ltd</t>
  </si>
  <si>
    <t>47824</t>
  </si>
  <si>
    <t>Total Westwood Metals Ltd</t>
  </si>
  <si>
    <t xml:space="preserve">   Plan Desgin</t>
  </si>
  <si>
    <t>Other - Alex &amp; Joel &amp; Kyle</t>
  </si>
  <si>
    <t>Plan Desgin</t>
  </si>
  <si>
    <t>Plan Printing &amp; Photocopying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</si>
</sst>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.00_);_(&quot;$&quot;* \(#,##0.00\);_(\-* \-??_);_(@_)"/>
    <numFmt numFmtId="165" formatCode="mm/dd/yyyy"/>
    <numFmt numFmtId="166" formatCode="#,##0.00;\-#,##0.00"/>
  </numFmts>
  <fonts count="20" x14ac:knownFonts="1">
    <font>
      <sz val="11"/>
      <color theme="1"/>
      <name val="Calibri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9"/>
      <color rgb="FF0D0D0D"/>
      <name val="Arial"/>
      <family val="2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sz val="11"/>
      <name val="Calibri"/>
      <family val="2"/>
    </font>
    <font>
      <sz val="10"/>
      <color rgb="FF0D0D0D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D0D0D"/>
      <name val="Arial"/>
      <family val="2"/>
    </font>
    <font>
      <b/>
      <sz val="8"/>
      <color rgb="FF323232"/>
      <name val="Arial"/>
      <family val="2"/>
    </font>
    <font>
      <sz val="10"/>
      <color rgb="FF000000"/>
      <name val="Times New Roman"/>
      <family val="1"/>
    </font>
    <font>
      <sz val="8"/>
      <color rgb="FF323232"/>
      <name val="Arial"/>
      <family val="2"/>
    </font>
    <font>
      <sz val="10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C0C0C0"/>
        <bgColor rgb="FFC0C0C0"/>
      </patternFill>
    </fill>
    <fill>
      <patternFill patternType="solid">
        <fgColor rgb="FFF7F7F7"/>
        <bgColor rgb="FFF7F7F7"/>
      </patternFill>
    </fill>
    <fill>
      <patternFill patternType="solid">
        <fgColor rgb="FFE8E8E8"/>
        <bgColor rgb="FFE8E8E8"/>
      </patternFill>
    </fill>
    <fill>
      <patternFill patternType="solid">
        <fgColor rgb="FF2B2B2B"/>
        <bgColor rgb="FF2B2B2B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2B2B2B"/>
      </top>
      <bottom style="thin">
        <color rgb="FF2B2B2B"/>
      </bottom>
      <diagonal/>
    </border>
    <border>
      <left style="thin">
        <color rgb="FFD0D0D0"/>
      </left>
      <right style="thin">
        <color rgb="FFD0D0D0"/>
      </right>
      <top style="thin">
        <color rgb="FF2B2B2B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B2B2B"/>
      </bottom>
      <diagonal/>
    </border>
    <border>
      <left/>
      <right/>
      <top/>
      <bottom style="thick">
        <color indexed="64"/>
      </bottom>
      <diagonal/>
    </border>
  </borders>
  <cellStyleXfs count="13">
    <xf numFmtId="0" fontId="0" fillId="0" borderId="0"/>
    <xf numFmtId="44" fontId="13" fillId="0" borderId="4" applyFont="0" applyFill="0" applyBorder="0" applyAlignment="0" applyProtection="0"/>
    <xf numFmtId="0" fontId="13" fillId="0" borderId="4"/>
    <xf numFmtId="0" fontId="3" fillId="0" borderId="4"/>
    <xf numFmtId="0" fontId="15" fillId="0" borderId="4"/>
    <xf numFmtId="0" fontId="2" fillId="0" borderId="4"/>
    <xf numFmtId="0" fontId="16" fillId="0" borderId="4"/>
    <xf numFmtId="0" fontId="18" fillId="0" borderId="4"/>
    <xf numFmtId="0" fontId="2" fillId="0" borderId="4"/>
    <xf numFmtId="0" fontId="15" fillId="0" borderId="4"/>
    <xf numFmtId="0" fontId="15" fillId="0" borderId="4"/>
    <xf numFmtId="0" fontId="1" fillId="0" borderId="4"/>
    <xf numFmtId="0" fontId="19" fillId="0" borderId="4"/>
  </cellStyleXfs>
  <cellXfs count="59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164" fontId="5" fillId="0" borderId="0" xfId="0" applyNumberFormat="1" applyFont="1"/>
    <xf numFmtId="0" fontId="8" fillId="7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right" vertical="center"/>
    </xf>
    <xf numFmtId="4" fontId="5" fillId="0" borderId="0" xfId="0" applyNumberFormat="1" applyFont="1"/>
    <xf numFmtId="0" fontId="10" fillId="2" borderId="1" xfId="0" applyFont="1" applyFill="1" applyBorder="1" applyAlignment="1">
      <alignment horizontal="lef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49" fontId="12" fillId="0" borderId="0" xfId="0" applyNumberFormat="1" applyFont="1"/>
    <xf numFmtId="164" fontId="12" fillId="0" borderId="0" xfId="0" applyNumberFormat="1" applyFont="1"/>
    <xf numFmtId="0" fontId="8" fillId="4" borderId="4" xfId="0" applyFont="1" applyFill="1" applyBorder="1" applyAlignment="1">
      <alignment horizontal="left" vertical="center"/>
    </xf>
    <xf numFmtId="164" fontId="8" fillId="4" borderId="4" xfId="0" applyNumberFormat="1" applyFont="1" applyFill="1" applyBorder="1" applyAlignment="1">
      <alignment horizontal="right" vertical="center"/>
    </xf>
    <xf numFmtId="44" fontId="0" fillId="0" borderId="0" xfId="0" applyNumberFormat="1"/>
    <xf numFmtId="49" fontId="10" fillId="2" borderId="10" xfId="0" applyNumberFormat="1" applyFont="1" applyFill="1" applyBorder="1"/>
    <xf numFmtId="0" fontId="10" fillId="2" borderId="10" xfId="0" applyFont="1" applyFill="1" applyBorder="1"/>
    <xf numFmtId="39" fontId="10" fillId="2" borderId="10" xfId="0" applyNumberFormat="1" applyFont="1" applyFill="1" applyBorder="1" applyAlignment="1">
      <alignment horizontal="center"/>
    </xf>
    <xf numFmtId="164" fontId="0" fillId="0" borderId="0" xfId="0" applyNumberFormat="1"/>
    <xf numFmtId="0" fontId="17" fillId="4" borderId="1" xfId="0" applyFont="1" applyFill="1" applyBorder="1" applyAlignment="1">
      <alignment horizontal="left" vertical="center"/>
    </xf>
    <xf numFmtId="164" fontId="17" fillId="4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49" fontId="12" fillId="0" borderId="4" xfId="8" applyNumberFormat="1" applyFont="1"/>
    <xf numFmtId="165" fontId="12" fillId="0" borderId="4" xfId="8" applyNumberFormat="1" applyFont="1"/>
    <xf numFmtId="166" fontId="12" fillId="0" borderId="4" xfId="8" applyNumberFormat="1" applyFont="1"/>
    <xf numFmtId="49" fontId="14" fillId="0" borderId="4" xfId="8" applyNumberFormat="1" applyFont="1"/>
    <xf numFmtId="165" fontId="14" fillId="0" borderId="4" xfId="8" applyNumberFormat="1" applyFont="1"/>
    <xf numFmtId="166" fontId="14" fillId="0" borderId="4" xfId="8" applyNumberFormat="1" applyFont="1"/>
    <xf numFmtId="166" fontId="14" fillId="0" borderId="9" xfId="8" applyNumberFormat="1" applyFont="1" applyBorder="1"/>
    <xf numFmtId="0" fontId="10" fillId="6" borderId="2" xfId="0" applyFont="1" applyFill="1" applyBorder="1" applyAlignment="1">
      <alignment horizontal="left" vertical="center"/>
    </xf>
    <xf numFmtId="0" fontId="7" fillId="0" borderId="3" xfId="0" applyFont="1" applyBorder="1"/>
    <xf numFmtId="0" fontId="7" fillId="0" borderId="4" xfId="0" applyFont="1" applyBorder="1"/>
    <xf numFmtId="0" fontId="10" fillId="2" borderId="2" xfId="0" applyFont="1" applyFill="1" applyBorder="1" applyAlignment="1">
      <alignment horizontal="left" vertical="center"/>
    </xf>
    <xf numFmtId="49" fontId="1" fillId="0" borderId="4" xfId="11" applyNumberFormat="1" applyAlignment="1">
      <alignment horizontal="center"/>
    </xf>
    <xf numFmtId="49" fontId="12" fillId="0" borderId="11" xfId="11" applyNumberFormat="1" applyFont="1" applyBorder="1" applyAlignment="1">
      <alignment horizontal="center"/>
    </xf>
    <xf numFmtId="0" fontId="1" fillId="0" borderId="4" xfId="11" applyAlignment="1">
      <alignment horizontal="center"/>
    </xf>
    <xf numFmtId="49" fontId="12" fillId="0" borderId="4" xfId="11" applyNumberFormat="1" applyFont="1"/>
    <xf numFmtId="165" fontId="12" fillId="0" borderId="4" xfId="11" applyNumberFormat="1" applyFont="1"/>
    <xf numFmtId="166" fontId="12" fillId="0" borderId="4" xfId="11" applyNumberFormat="1" applyFont="1"/>
    <xf numFmtId="0" fontId="1" fillId="0" borderId="4" xfId="11"/>
    <xf numFmtId="49" fontId="1" fillId="0" borderId="4" xfId="11" applyNumberFormat="1"/>
    <xf numFmtId="49" fontId="14" fillId="0" borderId="4" xfId="11" applyNumberFormat="1" applyFont="1"/>
    <xf numFmtId="165" fontId="14" fillId="0" borderId="4" xfId="11" applyNumberFormat="1" applyFont="1"/>
    <xf numFmtId="166" fontId="14" fillId="0" borderId="8" xfId="11" applyNumberFormat="1" applyFont="1" applyBorder="1"/>
    <xf numFmtId="166" fontId="14" fillId="0" borderId="4" xfId="11" applyNumberFormat="1" applyFont="1"/>
    <xf numFmtId="166" fontId="14" fillId="0" borderId="9" xfId="11" applyNumberFormat="1" applyFont="1" applyBorder="1"/>
    <xf numFmtId="0" fontId="6" fillId="2" borderId="4" xfId="12" applyFont="1" applyFill="1" applyAlignment="1">
      <alignment vertical="center"/>
    </xf>
    <xf numFmtId="49" fontId="10" fillId="2" borderId="7" xfId="12" applyNumberFormat="1" applyFont="1" applyFill="1" applyBorder="1"/>
    <xf numFmtId="165" fontId="10" fillId="2" borderId="7" xfId="12" applyNumberFormat="1" applyFont="1" applyFill="1" applyBorder="1"/>
    <xf numFmtId="164" fontId="10" fillId="2" borderId="7" xfId="12" applyNumberFormat="1" applyFont="1" applyFill="1" applyBorder="1"/>
    <xf numFmtId="0" fontId="12" fillId="0" borderId="4" xfId="11" applyFont="1"/>
    <xf numFmtId="49" fontId="12" fillId="0" borderId="4" xfId="11" applyNumberFormat="1" applyFont="1"/>
    <xf numFmtId="49" fontId="14" fillId="0" borderId="4" xfId="11" applyNumberFormat="1" applyFont="1"/>
  </cellXfs>
  <cellStyles count="13">
    <cellStyle name="Currency 2" xfId="1" xr:uid="{E830E134-EA09-49BC-A928-FDC7B9E6A476}"/>
    <cellStyle name="Normal" xfId="0" builtinId="0"/>
    <cellStyle name="Normal 11" xfId="2" xr:uid="{74B2A4DE-2B63-4480-A400-8BC73FCBDF74}"/>
    <cellStyle name="Normal 2" xfId="4" xr:uid="{327A0B22-06CF-49BA-BEF6-F85AD8162BB3}"/>
    <cellStyle name="Normal 2 2" xfId="6" xr:uid="{1EC5D188-B1E8-4909-B231-711FFA823233}"/>
    <cellStyle name="Normal 2 2 2" xfId="10" xr:uid="{21D79729-B5D6-4577-82AE-DF55C9D34FC9}"/>
    <cellStyle name="Normal 2 3" xfId="9" xr:uid="{7F43F872-51F0-4275-B491-5C7E7252B790}"/>
    <cellStyle name="Normal 3" xfId="3" xr:uid="{B15C51C0-856B-427A-A36F-A74D5B3001FE}"/>
    <cellStyle name="Normal 3 2" xfId="8" xr:uid="{F457EBED-50F4-4E89-9154-3C0E4E2BD69C}"/>
    <cellStyle name="Normal 4" xfId="5" xr:uid="{2B0E4BB0-B1B6-48C4-934D-30365C227AD7}"/>
    <cellStyle name="Normal 5" xfId="7" xr:uid="{B940B535-3240-4590-B612-90C83505D390}"/>
    <cellStyle name="Normal 6" xfId="11" xr:uid="{FDA85C9C-EF47-4F44-AB8C-C63F801553F8}"/>
    <cellStyle name="Normal 6 2" xfId="12" xr:uid="{191D95C1-AA10-4ABA-93D0-972AE796D627}"/>
  </cellStyles>
  <dxfs count="2">
    <dxf>
      <fill>
        <patternFill patternType="solid">
          <fgColor rgb="FFFDF0C2"/>
          <bgColor rgb="FFFDF0C2"/>
        </patternFill>
      </fill>
    </dxf>
    <dxf>
      <font>
        <color rgb="FF00000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30480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A92A7D0-1991-4795-9C63-3A1D9D8C13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30480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17170D3-93DA-40D0-B38F-0CDF48DEF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624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08A7640-8769-46FD-8D16-A71AB14963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3e6d2a-e597-4bc4-b667-124cc8503bb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CA7BF67-E6F0-4E12-A6A3-5CC5AE38337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c48cb2be-2c5f-4dc2-bd22-0055394f431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topLeftCell="A162" zoomScale="70" zoomScaleNormal="70" workbookViewId="0">
      <selection activeCell="F182" sqref="F182"/>
    </sheetView>
  </sheetViews>
  <sheetFormatPr defaultColWidth="14.44140625" defaultRowHeight="15" customHeight="1" x14ac:dyDescent="0.3"/>
  <cols>
    <col min="1" max="1" width="52.6640625" customWidth="1"/>
    <col min="2" max="2" width="15" bestFit="1" customWidth="1"/>
    <col min="3" max="5" width="15.44140625" customWidth="1"/>
    <col min="6" max="6" width="14.109375" customWidth="1"/>
    <col min="7" max="7" width="13.6640625" customWidth="1"/>
    <col min="8" max="8" width="19.88671875" customWidth="1"/>
    <col min="9" max="9" width="16.33203125" customWidth="1"/>
    <col min="10" max="11" width="8.6640625" customWidth="1"/>
    <col min="12" max="12" width="11.6640625" customWidth="1"/>
    <col min="13" max="26" width="8.6640625" customWidth="1"/>
  </cols>
  <sheetData>
    <row r="1" spans="1:12" ht="3.75" customHeight="1" x14ac:dyDescent="0.3">
      <c r="A1" s="1"/>
      <c r="B1" s="1"/>
      <c r="C1" s="1"/>
      <c r="D1" s="1"/>
      <c r="E1" s="1"/>
      <c r="F1" s="1"/>
      <c r="G1" s="1"/>
      <c r="H1" s="1"/>
    </row>
    <row r="2" spans="1:12" ht="27.75" customHeight="1" x14ac:dyDescent="0.3">
      <c r="A2" s="3" t="s">
        <v>0</v>
      </c>
      <c r="B2" s="4" t="s">
        <v>1</v>
      </c>
      <c r="C2" s="4" t="s">
        <v>434</v>
      </c>
      <c r="D2" s="4" t="s">
        <v>2</v>
      </c>
      <c r="E2" s="4" t="s">
        <v>435</v>
      </c>
      <c r="F2" s="4" t="s">
        <v>3</v>
      </c>
      <c r="G2" s="4" t="s">
        <v>4</v>
      </c>
      <c r="H2" s="4" t="s">
        <v>5</v>
      </c>
    </row>
    <row r="3" spans="1:12" ht="18" customHeight="1" x14ac:dyDescent="0.3"/>
    <row r="4" spans="1:12" ht="18" customHeight="1" x14ac:dyDescent="0.3">
      <c r="A4" s="38" t="s">
        <v>6</v>
      </c>
      <c r="B4" s="36"/>
      <c r="C4" s="37"/>
      <c r="D4" s="37"/>
      <c r="E4" s="36"/>
      <c r="F4" s="36"/>
      <c r="G4" s="36"/>
      <c r="H4" s="37"/>
    </row>
    <row r="5" spans="1:12" ht="18" customHeight="1" x14ac:dyDescent="0.3">
      <c r="A5" s="2" t="s">
        <v>566</v>
      </c>
      <c r="B5" s="5">
        <v>17850</v>
      </c>
      <c r="C5" s="5"/>
      <c r="D5" s="5">
        <f>SUMIF(Material!$E:$E,TRIM(A5),Material!$F:$F)</f>
        <v>9246.2999999999993</v>
      </c>
      <c r="E5" s="5">
        <f>SUM(C5:D5)</f>
        <v>9246.2999999999993</v>
      </c>
      <c r="F5" s="5">
        <f>IF(AND(B5&gt;0,B5&gt;E5),B5-E5,0)</f>
        <v>8603.7000000000007</v>
      </c>
      <c r="G5" s="5">
        <f>IF(AND(B5&gt;0,B5&lt;E5),B5-E5,0)</f>
        <v>0</v>
      </c>
      <c r="H5" s="5">
        <f>IF(AND(B5=0,B5&lt;E5),E5-B5,0)</f>
        <v>0</v>
      </c>
    </row>
    <row r="6" spans="1:12" ht="18" customHeight="1" x14ac:dyDescent="0.3">
      <c r="A6" s="9" t="s">
        <v>7</v>
      </c>
      <c r="B6" s="10">
        <v>525</v>
      </c>
      <c r="C6" s="10"/>
      <c r="D6" s="10">
        <f>SUMIF(Material!$E:$E,TRIM(A6),Material!$F:$F)</f>
        <v>158.93</v>
      </c>
      <c r="E6" s="10">
        <f>SUM(C6:D6)</f>
        <v>158.93</v>
      </c>
      <c r="F6" s="10">
        <f>IF(AND(B6&gt;0,B6&gt;E6),B6-E6,0)</f>
        <v>366.07</v>
      </c>
      <c r="G6" s="10">
        <f>IF(AND(B6&gt;0,B6&lt;E6),B6-E6,0)</f>
        <v>0</v>
      </c>
      <c r="H6" s="10">
        <v>0</v>
      </c>
      <c r="L6" s="11"/>
    </row>
    <row r="7" spans="1:12" ht="18" customHeight="1" x14ac:dyDescent="0.3">
      <c r="A7" s="6" t="s">
        <v>8</v>
      </c>
      <c r="B7" s="7">
        <f>SUM(B5:B6)</f>
        <v>18375</v>
      </c>
      <c r="C7" s="7">
        <f t="shared" ref="C7:H7" si="0">SUM(C5:C6)</f>
        <v>0</v>
      </c>
      <c r="D7" s="7">
        <f>SUM(D5:D6)</f>
        <v>9405.23</v>
      </c>
      <c r="E7" s="7">
        <f t="shared" si="0"/>
        <v>9405.23</v>
      </c>
      <c r="F7" s="7">
        <f t="shared" si="0"/>
        <v>8969.77</v>
      </c>
      <c r="G7" s="7">
        <f t="shared" si="0"/>
        <v>0</v>
      </c>
      <c r="H7" s="7">
        <f t="shared" si="0"/>
        <v>0</v>
      </c>
    </row>
    <row r="8" spans="1:12" ht="14.25" customHeight="1" x14ac:dyDescent="0.3">
      <c r="B8" s="8"/>
      <c r="C8" s="8"/>
      <c r="D8" s="8"/>
      <c r="E8" s="8"/>
      <c r="F8" s="8"/>
      <c r="G8" s="8"/>
      <c r="H8" s="8"/>
    </row>
    <row r="9" spans="1:12" ht="18" customHeight="1" x14ac:dyDescent="0.3">
      <c r="A9" s="35" t="s">
        <v>9</v>
      </c>
      <c r="B9" s="36"/>
      <c r="C9" s="37"/>
      <c r="D9" s="37"/>
      <c r="E9" s="36"/>
      <c r="F9" s="36"/>
      <c r="G9" s="36"/>
      <c r="H9" s="37"/>
    </row>
    <row r="10" spans="1:12" ht="18" customHeight="1" x14ac:dyDescent="0.3">
      <c r="A10" s="2" t="s">
        <v>76</v>
      </c>
      <c r="B10" s="5">
        <v>10500</v>
      </c>
      <c r="C10" s="5"/>
      <c r="D10" s="5">
        <f>SUMIF(Material!$E:$E,TRIM(A10),Material!$F:$F)</f>
        <v>8216.35</v>
      </c>
      <c r="E10" s="5">
        <f>SUM(C10:D10)</f>
        <v>8216.35</v>
      </c>
      <c r="F10" s="5">
        <f>IF(AND(B10&gt;0,B10&gt;E10),B10-E10,0)</f>
        <v>2283.6499999999996</v>
      </c>
      <c r="G10" s="5">
        <f>IF(AND(B10&gt;0,B10&lt;E10),B10-E10,0)</f>
        <v>0</v>
      </c>
      <c r="H10" s="5">
        <f>IF(AND(B10=0,B10&lt;E10),E10-B10,0)</f>
        <v>0</v>
      </c>
    </row>
    <row r="11" spans="1:12" ht="18" customHeight="1" x14ac:dyDescent="0.3">
      <c r="A11" s="9" t="s">
        <v>77</v>
      </c>
      <c r="B11" s="10">
        <v>2100</v>
      </c>
      <c r="C11" s="10"/>
      <c r="D11" s="10">
        <f>SUMIF(Material!$E:$E,TRIM(A11),Material!$F:$F)</f>
        <v>1250</v>
      </c>
      <c r="E11" s="10">
        <f>SUM(C11:D11)</f>
        <v>1250</v>
      </c>
      <c r="F11" s="10">
        <f>IF(AND(B11&gt;0,B11&gt;E11),B11-E11,0)</f>
        <v>850</v>
      </c>
      <c r="G11" s="10">
        <f>IF(AND(B11&gt;0,B11&lt;E11),B11-E11,0)</f>
        <v>0</v>
      </c>
      <c r="H11" s="10">
        <v>0</v>
      </c>
      <c r="L11" s="11"/>
    </row>
    <row r="12" spans="1:12" ht="18" customHeight="1" x14ac:dyDescent="0.3">
      <c r="A12" s="2" t="s">
        <v>78</v>
      </c>
      <c r="B12" s="5">
        <v>42</v>
      </c>
      <c r="C12" s="5"/>
      <c r="D12" s="5">
        <f>SUMIF(Material!$E:$E,TRIM(A12),Material!$F:$F)</f>
        <v>40</v>
      </c>
      <c r="E12" s="5">
        <f>SUM(C12:D12)</f>
        <v>40</v>
      </c>
      <c r="F12" s="5">
        <f>IF(AND(B12&gt;0,B12&gt;E12),B12-E12,0)</f>
        <v>2</v>
      </c>
      <c r="G12" s="5">
        <f>IF(AND(B12&gt;0,B12&lt;E12),B12-E12,0)</f>
        <v>0</v>
      </c>
      <c r="H12" s="5">
        <f>IF(AND(B12=0,B12&lt;E12),E12-B12,0)</f>
        <v>0</v>
      </c>
    </row>
    <row r="13" spans="1:12" ht="18" customHeight="1" x14ac:dyDescent="0.3">
      <c r="A13" s="9" t="s">
        <v>79</v>
      </c>
      <c r="B13" s="10">
        <v>10500</v>
      </c>
      <c r="C13" s="10"/>
      <c r="D13" s="10">
        <f>SUMIF(Material!$E:$E,TRIM(A13),Material!$F:$F)</f>
        <v>0</v>
      </c>
      <c r="E13" s="10">
        <f>SUM(C13:D13)</f>
        <v>0</v>
      </c>
      <c r="F13" s="10">
        <f>IF(AND(B13&gt;0,B13&gt;E13),B13-E13,0)</f>
        <v>10500</v>
      </c>
      <c r="G13" s="10">
        <f>IF(AND(B13&gt;0,B13&lt;E13),B13-E13,0)</f>
        <v>0</v>
      </c>
      <c r="H13" s="10">
        <v>0</v>
      </c>
      <c r="L13" s="11"/>
    </row>
    <row r="14" spans="1:12" ht="18" customHeight="1" x14ac:dyDescent="0.3">
      <c r="A14" s="6" t="s">
        <v>10</v>
      </c>
      <c r="B14" s="7">
        <f>SUM(B10:B13)</f>
        <v>23142</v>
      </c>
      <c r="C14" s="7">
        <f t="shared" ref="C14:H14" si="1">SUM(C10:C13)</f>
        <v>0</v>
      </c>
      <c r="D14" s="7">
        <f>SUM(D10:D13)</f>
        <v>9506.35</v>
      </c>
      <c r="E14" s="7">
        <f t="shared" si="1"/>
        <v>9506.35</v>
      </c>
      <c r="F14" s="7">
        <f t="shared" si="1"/>
        <v>13635.65</v>
      </c>
      <c r="G14" s="7">
        <f t="shared" si="1"/>
        <v>0</v>
      </c>
      <c r="H14" s="7">
        <f t="shared" si="1"/>
        <v>0</v>
      </c>
    </row>
    <row r="15" spans="1:12" ht="14.25" customHeight="1" x14ac:dyDescent="0.3">
      <c r="B15" s="8"/>
      <c r="C15" s="8"/>
      <c r="D15" s="8"/>
      <c r="E15" s="8"/>
      <c r="F15" s="8"/>
      <c r="G15" s="8"/>
      <c r="H15" s="8"/>
    </row>
    <row r="16" spans="1:12" ht="18" customHeight="1" x14ac:dyDescent="0.3">
      <c r="A16" s="35" t="s">
        <v>11</v>
      </c>
      <c r="B16" s="36"/>
      <c r="C16" s="37"/>
      <c r="D16" s="37"/>
      <c r="E16" s="36"/>
      <c r="F16" s="36"/>
      <c r="G16" s="36"/>
      <c r="H16" s="37"/>
    </row>
    <row r="17" spans="1:8" ht="18" customHeight="1" x14ac:dyDescent="0.3">
      <c r="A17" s="2" t="s">
        <v>80</v>
      </c>
      <c r="B17" s="5">
        <v>1575</v>
      </c>
      <c r="C17" s="5"/>
      <c r="D17" s="5">
        <f>SUMIF(Material!$E:$E,TRIM(A17),Material!$F:$F)</f>
        <v>918.75</v>
      </c>
      <c r="E17" s="5">
        <f>SUM(C17:D17)</f>
        <v>918.75</v>
      </c>
      <c r="F17" s="5">
        <f>IF(AND(B17&gt;0,B17&gt;E17),B17-E17,0)</f>
        <v>656.25</v>
      </c>
      <c r="G17" s="5">
        <f>IF(AND(B17&gt;0,B17&lt;E17),B17-E17,0)</f>
        <v>0</v>
      </c>
      <c r="H17" s="5">
        <f>IF(AND(B17=0,B17&lt;E17),E17-B17,0)</f>
        <v>0</v>
      </c>
    </row>
    <row r="18" spans="1:8" ht="18" customHeight="1" x14ac:dyDescent="0.3">
      <c r="A18" s="9" t="s">
        <v>81</v>
      </c>
      <c r="B18" s="10">
        <v>8400</v>
      </c>
      <c r="C18" s="10"/>
      <c r="D18" s="10">
        <f>SUMIF(Material!$E:$E,TRIM(A18),Material!$F:$F)</f>
        <v>8035.13</v>
      </c>
      <c r="E18" s="10">
        <f>SUM(C18:D18)</f>
        <v>8035.13</v>
      </c>
      <c r="F18" s="10">
        <f>IF(AND(B18&gt;0,B18&gt;E18),B18-E18,0)</f>
        <v>364.86999999999989</v>
      </c>
      <c r="G18" s="10">
        <f>IF(AND(B18&gt;0,B18&lt;E18),B18-E18,0)</f>
        <v>0</v>
      </c>
      <c r="H18" s="10">
        <f>IF(AND(B18=0,B18&lt;E18),E18-B18,0)</f>
        <v>0</v>
      </c>
    </row>
    <row r="19" spans="1:8" ht="18" customHeight="1" x14ac:dyDescent="0.3">
      <c r="A19" s="2" t="s">
        <v>278</v>
      </c>
      <c r="B19" s="5">
        <v>2100</v>
      </c>
      <c r="C19" s="5"/>
      <c r="D19" s="5">
        <f>SUMIF(Material!$E:$E,TRIM(A19),Material!$F:$F)</f>
        <v>883.68000000000006</v>
      </c>
      <c r="E19" s="5">
        <f>SUM(C19:D19)</f>
        <v>883.68000000000006</v>
      </c>
      <c r="F19" s="5">
        <f>IF(AND(B19&gt;0,B19&gt;E19),B19-E19,0)</f>
        <v>1216.32</v>
      </c>
      <c r="G19" s="5">
        <f>IF(AND(B19&gt;0,B19&lt;E19),B19-E19,0)</f>
        <v>0</v>
      </c>
      <c r="H19" s="5">
        <f>IF(AND(B19=0,B19&lt;E19),E19-B19,0)</f>
        <v>0</v>
      </c>
    </row>
    <row r="20" spans="1:8" ht="18" customHeight="1" x14ac:dyDescent="0.3">
      <c r="A20" s="9" t="s">
        <v>82</v>
      </c>
      <c r="B20" s="10">
        <v>7350</v>
      </c>
      <c r="C20" s="10"/>
      <c r="D20" s="10">
        <f>SUMIF(Material!$E:$E,TRIM(A20),Material!$F:$F)</f>
        <v>7849.17</v>
      </c>
      <c r="E20" s="10">
        <f>SUM(C20:D20)</f>
        <v>7849.17</v>
      </c>
      <c r="F20" s="10">
        <f>IF(AND(B20&gt;0,B20&gt;E20),B20-E20,0)</f>
        <v>0</v>
      </c>
      <c r="G20" s="10">
        <f>IF(AND(B20&gt;0,B20&lt;E20),B20-E20,0)</f>
        <v>-499.17000000000007</v>
      </c>
      <c r="H20" s="10">
        <f>IF(AND(B20=0,B20&lt;E20),E20-B20,0)</f>
        <v>0</v>
      </c>
    </row>
    <row r="21" spans="1:8" ht="18" customHeight="1" x14ac:dyDescent="0.3">
      <c r="A21" s="6" t="s">
        <v>12</v>
      </c>
      <c r="B21" s="7">
        <f>SUM(B17:B20)</f>
        <v>19425</v>
      </c>
      <c r="C21" s="7">
        <f t="shared" ref="C21:H21" si="2">SUM(C17:C20)</f>
        <v>0</v>
      </c>
      <c r="D21" s="7">
        <f>SUM(D17:D20)</f>
        <v>17686.730000000003</v>
      </c>
      <c r="E21" s="7">
        <f t="shared" si="2"/>
        <v>17686.730000000003</v>
      </c>
      <c r="F21" s="7">
        <f t="shared" si="2"/>
        <v>2237.4399999999996</v>
      </c>
      <c r="G21" s="7">
        <f t="shared" si="2"/>
        <v>-499.17000000000007</v>
      </c>
      <c r="H21" s="7">
        <f t="shared" si="2"/>
        <v>0</v>
      </c>
    </row>
    <row r="22" spans="1:8" ht="14.25" customHeight="1" x14ac:dyDescent="0.3">
      <c r="B22" s="8"/>
      <c r="C22" s="8"/>
      <c r="D22" s="8"/>
      <c r="E22" s="8"/>
      <c r="F22" s="8"/>
      <c r="G22" s="8"/>
      <c r="H22" s="8"/>
    </row>
    <row r="23" spans="1:8" ht="18" customHeight="1" x14ac:dyDescent="0.3">
      <c r="A23" s="35" t="s">
        <v>13</v>
      </c>
      <c r="B23" s="36"/>
      <c r="C23" s="37"/>
      <c r="D23" s="37"/>
      <c r="E23" s="36"/>
      <c r="F23" s="36"/>
      <c r="G23" s="36"/>
      <c r="H23" s="37"/>
    </row>
    <row r="24" spans="1:8" ht="18" customHeight="1" x14ac:dyDescent="0.3">
      <c r="A24" s="2" t="s">
        <v>83</v>
      </c>
      <c r="B24" s="5">
        <v>21000</v>
      </c>
      <c r="C24" s="5"/>
      <c r="D24" s="5">
        <f>SUMIF(Material!$E:$E,TRIM(A24),Material!$F:$F)</f>
        <v>25071.190000000006</v>
      </c>
      <c r="E24" s="5">
        <f>SUM(C24:D24)</f>
        <v>25071.190000000006</v>
      </c>
      <c r="F24" s="5">
        <f>IF(AND(B24&gt;0,B24&gt;E24),B24-E24,0)</f>
        <v>0</v>
      </c>
      <c r="G24" s="5">
        <f>IF(AND(B24&gt;0,B24&lt;E24),B24-E24,0)</f>
        <v>-4071.190000000006</v>
      </c>
      <c r="H24" s="5">
        <f>IF(AND(B24=0,B24&lt;E24),E24-B24,0)</f>
        <v>0</v>
      </c>
    </row>
    <row r="25" spans="1:8" ht="18" customHeight="1" x14ac:dyDescent="0.3">
      <c r="A25" s="9" t="s">
        <v>84</v>
      </c>
      <c r="B25" s="10">
        <v>21000</v>
      </c>
      <c r="C25" s="10"/>
      <c r="D25" s="10">
        <f>SUMIF(Material!$E:$E,TRIM(A25),Material!$F:$F)</f>
        <v>59319.02</v>
      </c>
      <c r="E25" s="10">
        <f>SUM(C25:D25)</f>
        <v>59319.02</v>
      </c>
      <c r="F25" s="10">
        <f>IF(AND(B25&gt;0,B25&gt;E25),B25-E25,0)</f>
        <v>0</v>
      </c>
      <c r="G25" s="10">
        <f>IF(AND(B25&gt;0,B25&lt;E25),B25-E25,0)</f>
        <v>-38319.019999999997</v>
      </c>
      <c r="H25" s="10">
        <f>IF(AND(B25=0,B25&lt;E25),E25-B25,0)</f>
        <v>0</v>
      </c>
    </row>
    <row r="26" spans="1:8" ht="18" customHeight="1" x14ac:dyDescent="0.3">
      <c r="A26" s="2" t="s">
        <v>85</v>
      </c>
      <c r="B26" s="5">
        <v>26250</v>
      </c>
      <c r="C26" s="5"/>
      <c r="D26" s="5">
        <f>SUMIF(Material!$E:$E,TRIM(A26),Material!$F:$F)</f>
        <v>1795.5</v>
      </c>
      <c r="E26" s="5">
        <f>SUM(C26:D26)</f>
        <v>1795.5</v>
      </c>
      <c r="F26" s="5">
        <f>IF(AND(B26&gt;0,B26&gt;E26),B26-E26,0)</f>
        <v>24454.5</v>
      </c>
      <c r="G26" s="5">
        <f>IF(AND(B26&gt;0,B26&lt;E26),B26-E26,0)</f>
        <v>0</v>
      </c>
      <c r="H26" s="5">
        <f>IF(AND(B26=0,B26&lt;E26),E26-B26,0)</f>
        <v>0</v>
      </c>
    </row>
    <row r="27" spans="1:8" ht="18" customHeight="1" x14ac:dyDescent="0.3">
      <c r="A27" s="6" t="s">
        <v>14</v>
      </c>
      <c r="B27" s="7">
        <f>SUM(B24:B26)</f>
        <v>68250</v>
      </c>
      <c r="C27" s="7">
        <f t="shared" ref="C27:H27" si="3">SUM(C24:C26)</f>
        <v>0</v>
      </c>
      <c r="D27" s="7">
        <f t="shared" si="3"/>
        <v>86185.71</v>
      </c>
      <c r="E27" s="7">
        <f t="shared" si="3"/>
        <v>86185.71</v>
      </c>
      <c r="F27" s="7">
        <f t="shared" si="3"/>
        <v>24454.5</v>
      </c>
      <c r="G27" s="7">
        <f t="shared" si="3"/>
        <v>-42390.210000000006</v>
      </c>
      <c r="H27" s="7">
        <f t="shared" si="3"/>
        <v>0</v>
      </c>
    </row>
    <row r="28" spans="1:8" ht="14.25" customHeight="1" x14ac:dyDescent="0.3">
      <c r="B28" s="8"/>
      <c r="C28" s="8"/>
      <c r="D28" s="8"/>
      <c r="E28" s="8"/>
      <c r="F28" s="8"/>
      <c r="G28" s="8"/>
      <c r="H28" s="8"/>
    </row>
    <row r="29" spans="1:8" ht="18" customHeight="1" x14ac:dyDescent="0.3">
      <c r="A29" s="35" t="s">
        <v>15</v>
      </c>
      <c r="B29" s="36"/>
      <c r="C29" s="37"/>
      <c r="D29" s="37"/>
      <c r="E29" s="36"/>
      <c r="F29" s="36"/>
      <c r="G29" s="36"/>
      <c r="H29" s="37"/>
    </row>
    <row r="30" spans="1:8" ht="18" customHeight="1" x14ac:dyDescent="0.3">
      <c r="A30" s="2" t="s">
        <v>216</v>
      </c>
      <c r="B30" s="5">
        <v>8597.5365000000002</v>
      </c>
      <c r="C30" s="5"/>
      <c r="D30" s="5">
        <f>SUMIF(Material!$E:$E,TRIM(A30),Material!$F:$F)</f>
        <v>16250.660000000007</v>
      </c>
      <c r="E30" s="5">
        <f t="shared" ref="E30:E38" si="4">SUM(C30:D30)</f>
        <v>16250.660000000007</v>
      </c>
      <c r="F30" s="5">
        <f t="shared" ref="F30:F38" si="5">IF(AND(B30&gt;0,B30&gt;E30),B30-E30,0)</f>
        <v>0</v>
      </c>
      <c r="G30" s="5">
        <f t="shared" ref="G30:G38" si="6">IF(AND(B30&gt;0,B30&lt;E30),B30-E30,0)</f>
        <v>-7653.123500000007</v>
      </c>
      <c r="H30" s="5">
        <f t="shared" ref="H30:H38" si="7">IF(AND(B30=0,B30&lt;E30),E30-B30,0)</f>
        <v>0</v>
      </c>
    </row>
    <row r="31" spans="1:8" ht="18" customHeight="1" x14ac:dyDescent="0.3">
      <c r="A31" s="9" t="s">
        <v>232</v>
      </c>
      <c r="B31" s="10">
        <v>28140</v>
      </c>
      <c r="C31" s="10"/>
      <c r="D31" s="10">
        <f>SUMIF(Material!$E:$E,TRIM(A31),Material!$F:$F)</f>
        <v>23549.78</v>
      </c>
      <c r="E31" s="10">
        <f t="shared" si="4"/>
        <v>23549.78</v>
      </c>
      <c r="F31" s="10">
        <f t="shared" si="5"/>
        <v>4590.2200000000012</v>
      </c>
      <c r="G31" s="10">
        <f t="shared" si="6"/>
        <v>0</v>
      </c>
      <c r="H31" s="10">
        <f t="shared" si="7"/>
        <v>0</v>
      </c>
    </row>
    <row r="32" spans="1:8" ht="18" customHeight="1" x14ac:dyDescent="0.3">
      <c r="A32" s="2" t="s">
        <v>86</v>
      </c>
      <c r="B32" s="5">
        <v>13649.380499999999</v>
      </c>
      <c r="C32" s="5"/>
      <c r="D32" s="5">
        <f>SUMIF(Material!$E:$E,TRIM(A32),Material!$F:$F)</f>
        <v>15750</v>
      </c>
      <c r="E32" s="5">
        <f t="shared" si="4"/>
        <v>15750</v>
      </c>
      <c r="F32" s="5">
        <f t="shared" si="5"/>
        <v>0</v>
      </c>
      <c r="G32" s="5">
        <f t="shared" si="6"/>
        <v>-2100.6195000000007</v>
      </c>
      <c r="H32" s="5">
        <f t="shared" si="7"/>
        <v>0</v>
      </c>
    </row>
    <row r="33" spans="1:8" ht="18" customHeight="1" x14ac:dyDescent="0.3">
      <c r="A33" s="9" t="s">
        <v>87</v>
      </c>
      <c r="B33" s="10">
        <v>435.37200000000001</v>
      </c>
      <c r="C33" s="10"/>
      <c r="D33" s="10">
        <f>SUMIF(Material!$E:$E,TRIM(A33),Material!$F:$F)</f>
        <v>0</v>
      </c>
      <c r="E33" s="10">
        <f t="shared" si="4"/>
        <v>0</v>
      </c>
      <c r="F33" s="10">
        <f t="shared" si="5"/>
        <v>435.37200000000001</v>
      </c>
      <c r="G33" s="10">
        <f t="shared" si="6"/>
        <v>0</v>
      </c>
      <c r="H33" s="10">
        <f t="shared" si="7"/>
        <v>0</v>
      </c>
    </row>
    <row r="34" spans="1:8" ht="18" customHeight="1" x14ac:dyDescent="0.3">
      <c r="A34" s="2" t="s">
        <v>88</v>
      </c>
      <c r="B34" s="5">
        <v>5040</v>
      </c>
      <c r="C34" s="5"/>
      <c r="D34" s="5">
        <f>SUMIF(Material!$E:$E,TRIM(A34),Material!$F:$F)</f>
        <v>4074.01</v>
      </c>
      <c r="E34" s="5">
        <f t="shared" si="4"/>
        <v>4074.01</v>
      </c>
      <c r="F34" s="5">
        <f t="shared" si="5"/>
        <v>965.98999999999978</v>
      </c>
      <c r="G34" s="5">
        <f t="shared" si="6"/>
        <v>0</v>
      </c>
      <c r="H34" s="5">
        <f t="shared" si="7"/>
        <v>0</v>
      </c>
    </row>
    <row r="35" spans="1:8" ht="18" customHeight="1" x14ac:dyDescent="0.3">
      <c r="A35" s="9" t="s">
        <v>89</v>
      </c>
      <c r="B35" s="10">
        <v>6300</v>
      </c>
      <c r="C35" s="10"/>
      <c r="D35" s="10">
        <f>SUMIF(Material!$E:$E,TRIM(A35),Material!$F:$F)</f>
        <v>5354.94</v>
      </c>
      <c r="E35" s="10">
        <f t="shared" si="4"/>
        <v>5354.94</v>
      </c>
      <c r="F35" s="10">
        <f t="shared" si="5"/>
        <v>945.0600000000004</v>
      </c>
      <c r="G35" s="10">
        <f t="shared" si="6"/>
        <v>0</v>
      </c>
      <c r="H35" s="10">
        <f t="shared" si="7"/>
        <v>0</v>
      </c>
    </row>
    <row r="36" spans="1:8" ht="18" customHeight="1" x14ac:dyDescent="0.3">
      <c r="A36" s="2" t="s">
        <v>90</v>
      </c>
      <c r="B36" s="5">
        <v>3620.9250000000002</v>
      </c>
      <c r="C36" s="5"/>
      <c r="D36" s="5">
        <f>SUMIF(Material!$E:$E,TRIM(A36),Material!$F:$F)</f>
        <v>0</v>
      </c>
      <c r="E36" s="5">
        <f t="shared" si="4"/>
        <v>0</v>
      </c>
      <c r="F36" s="5">
        <f t="shared" si="5"/>
        <v>3620.9250000000002</v>
      </c>
      <c r="G36" s="5">
        <f t="shared" si="6"/>
        <v>0</v>
      </c>
      <c r="H36" s="5">
        <f t="shared" si="7"/>
        <v>0</v>
      </c>
    </row>
    <row r="37" spans="1:8" ht="18" customHeight="1" x14ac:dyDescent="0.3">
      <c r="A37" s="9" t="s">
        <v>91</v>
      </c>
      <c r="B37" s="10">
        <v>3780</v>
      </c>
      <c r="C37" s="10"/>
      <c r="D37" s="10">
        <f>SUMIF(Material!$E:$E,TRIM(A37),Material!$F:$F)</f>
        <v>3664.42</v>
      </c>
      <c r="E37" s="10">
        <f t="shared" si="4"/>
        <v>3664.42</v>
      </c>
      <c r="F37" s="10">
        <f t="shared" si="5"/>
        <v>115.57999999999993</v>
      </c>
      <c r="G37" s="10">
        <f t="shared" si="6"/>
        <v>0</v>
      </c>
      <c r="H37" s="10">
        <f t="shared" si="7"/>
        <v>0</v>
      </c>
    </row>
    <row r="38" spans="1:8" ht="18" customHeight="1" x14ac:dyDescent="0.3">
      <c r="A38" s="2" t="s">
        <v>92</v>
      </c>
      <c r="B38" s="5">
        <v>10500</v>
      </c>
      <c r="C38" s="5"/>
      <c r="D38" s="5">
        <f>SUMIF(Material!$E:$E,TRIM(A38),Material!$F:$F)</f>
        <v>3379.95</v>
      </c>
      <c r="E38" s="5">
        <f t="shared" si="4"/>
        <v>3379.95</v>
      </c>
      <c r="F38" s="5">
        <f t="shared" si="5"/>
        <v>7120.05</v>
      </c>
      <c r="G38" s="5">
        <f t="shared" si="6"/>
        <v>0</v>
      </c>
      <c r="H38" s="5">
        <f t="shared" si="7"/>
        <v>0</v>
      </c>
    </row>
    <row r="39" spans="1:8" ht="18" customHeight="1" x14ac:dyDescent="0.3">
      <c r="A39" s="6" t="s">
        <v>16</v>
      </c>
      <c r="B39" s="7">
        <f t="shared" ref="B39:H39" si="8">SUM(B30:B38)</f>
        <v>80063.214000000007</v>
      </c>
      <c r="C39" s="7">
        <f t="shared" si="8"/>
        <v>0</v>
      </c>
      <c r="D39" s="7">
        <f t="shared" si="8"/>
        <v>72023.760000000009</v>
      </c>
      <c r="E39" s="7">
        <f t="shared" si="8"/>
        <v>72023.760000000009</v>
      </c>
      <c r="F39" s="7">
        <f t="shared" si="8"/>
        <v>17793.197000000004</v>
      </c>
      <c r="G39" s="7">
        <f t="shared" si="8"/>
        <v>-9753.7430000000077</v>
      </c>
      <c r="H39" s="7">
        <f t="shared" si="8"/>
        <v>0</v>
      </c>
    </row>
    <row r="40" spans="1:8" ht="14.25" customHeight="1" x14ac:dyDescent="0.3">
      <c r="B40" s="8"/>
      <c r="C40" s="8"/>
      <c r="D40" s="8"/>
      <c r="E40" s="8"/>
      <c r="F40" s="8"/>
      <c r="G40" s="8"/>
      <c r="H40" s="8"/>
    </row>
    <row r="41" spans="1:8" ht="18" customHeight="1" x14ac:dyDescent="0.3">
      <c r="A41" s="35" t="s">
        <v>17</v>
      </c>
      <c r="B41" s="36"/>
      <c r="C41" s="37"/>
      <c r="D41" s="37"/>
      <c r="E41" s="36"/>
      <c r="F41" s="36"/>
      <c r="G41" s="36"/>
      <c r="H41" s="37"/>
    </row>
    <row r="42" spans="1:8" ht="18" customHeight="1" x14ac:dyDescent="0.3">
      <c r="A42" s="2" t="s">
        <v>294</v>
      </c>
      <c r="B42" s="5">
        <v>41235.085500000001</v>
      </c>
      <c r="C42" s="5"/>
      <c r="D42" s="5">
        <f>SUMIF(Material!$E:$E,TRIM(A42),Material!$F:$F)</f>
        <v>59647.010000000009</v>
      </c>
      <c r="E42" s="5">
        <f>SUM(C42:D42)</f>
        <v>59647.010000000009</v>
      </c>
      <c r="F42" s="5">
        <f>IF(AND(B42&gt;0,B42&gt;E42),B42-E42,0)</f>
        <v>0</v>
      </c>
      <c r="G42" s="5">
        <f>IF(AND(B42&gt;0,B42&lt;E42),B42-E42,0)</f>
        <v>-18411.924500000008</v>
      </c>
      <c r="H42" s="5">
        <f>IF(AND(B42=0,B42&lt;E42),E42-B42,0)</f>
        <v>0</v>
      </c>
    </row>
    <row r="43" spans="1:8" ht="18" customHeight="1" x14ac:dyDescent="0.3">
      <c r="A43" s="9" t="s">
        <v>93</v>
      </c>
      <c r="B43" s="10">
        <v>45150</v>
      </c>
      <c r="C43" s="10"/>
      <c r="D43" s="10">
        <f>SUMIF(Material!$E:$E,TRIM(A43),Material!$F:$F)</f>
        <v>43603.7</v>
      </c>
      <c r="E43" s="10">
        <f>SUM(C43:D43)</f>
        <v>43603.7</v>
      </c>
      <c r="F43" s="10">
        <f>IF(AND(B43&gt;0,B43&gt;E43),B43-E43,0)</f>
        <v>1546.3000000000029</v>
      </c>
      <c r="G43" s="10">
        <f>IF(AND(B43&gt;0,B43&lt;E43),B43-E43,0)</f>
        <v>0</v>
      </c>
      <c r="H43" s="10">
        <f>IF(AND(B43=0,B43&lt;E43),E43-B43,0)</f>
        <v>0</v>
      </c>
    </row>
    <row r="44" spans="1:8" ht="18" customHeight="1" x14ac:dyDescent="0.3">
      <c r="A44" s="2" t="s">
        <v>94</v>
      </c>
      <c r="B44" s="5">
        <v>14275.684499999999</v>
      </c>
      <c r="C44" s="5"/>
      <c r="D44" s="5">
        <f>SUMIF(Material!$E:$E,TRIM(A44),Material!$F:$F)</f>
        <v>12383</v>
      </c>
      <c r="E44" s="5">
        <f>SUM(C44:D44)</f>
        <v>12383</v>
      </c>
      <c r="F44" s="5">
        <f>IF(AND(B44&gt;0,B44&gt;E44),B44-E44,0)</f>
        <v>1892.6844999999994</v>
      </c>
      <c r="G44" s="5">
        <f>IF(AND(B44&gt;0,B44&lt;E44),B44-E44,0)</f>
        <v>0</v>
      </c>
      <c r="H44" s="5">
        <f>IF(AND(B44=0,B44&lt;E44),E44-B44,0)</f>
        <v>0</v>
      </c>
    </row>
    <row r="45" spans="1:8" ht="18" customHeight="1" x14ac:dyDescent="0.3">
      <c r="A45" s="9" t="s">
        <v>95</v>
      </c>
      <c r="B45" s="10">
        <v>11718.220499999999</v>
      </c>
      <c r="C45" s="10"/>
      <c r="D45" s="10">
        <f>SUMIF(Material!$E:$E,TRIM(A45),Material!$F:$F)</f>
        <v>0</v>
      </c>
      <c r="E45" s="10">
        <f>SUM(C45:D45)</f>
        <v>0</v>
      </c>
      <c r="F45" s="10">
        <f>IF(AND(B45&gt;0,B45&gt;E45),B45-E45,0)</f>
        <v>11718.220499999999</v>
      </c>
      <c r="G45" s="10">
        <f>IF(AND(B45&gt;0,B45&lt;E45),B45-E45,0)</f>
        <v>0</v>
      </c>
      <c r="H45" s="10">
        <f>IF(AND(B45=0,B45&lt;E45),E45-B45,0)</f>
        <v>0</v>
      </c>
    </row>
    <row r="46" spans="1:8" ht="18" customHeight="1" x14ac:dyDescent="0.3">
      <c r="A46" s="2" t="s">
        <v>96</v>
      </c>
      <c r="B46" s="5">
        <v>5250</v>
      </c>
      <c r="C46" s="5"/>
      <c r="D46" s="5">
        <f>SUMIF(Material!$E:$E,TRIM(A46),Material!$F:$F)</f>
        <v>0</v>
      </c>
      <c r="E46" s="5">
        <f>SUM(C46:D46)</f>
        <v>0</v>
      </c>
      <c r="F46" s="5">
        <f>IF(AND(B46&gt;0,B46&gt;E46),B46-E46,0)</f>
        <v>5250</v>
      </c>
      <c r="G46" s="5">
        <f>IF(AND(B46&gt;0,B46&lt;E46),B46-E46,0)</f>
        <v>0</v>
      </c>
      <c r="H46" s="5">
        <f>IF(AND(B46=0,B46&lt;E46),E46-B46,0)</f>
        <v>0</v>
      </c>
    </row>
    <row r="47" spans="1:8" ht="18" customHeight="1" x14ac:dyDescent="0.3">
      <c r="A47" s="6" t="s">
        <v>18</v>
      </c>
      <c r="B47" s="7">
        <f>SUM(B42:B46)</f>
        <v>117628.9905</v>
      </c>
      <c r="C47" s="7">
        <f t="shared" ref="C47:H47" si="9">SUM(C42:C46)</f>
        <v>0</v>
      </c>
      <c r="D47" s="7">
        <f t="shared" si="9"/>
        <v>115633.71</v>
      </c>
      <c r="E47" s="7">
        <f t="shared" si="9"/>
        <v>115633.71</v>
      </c>
      <c r="F47" s="7">
        <f t="shared" si="9"/>
        <v>20407.205000000002</v>
      </c>
      <c r="G47" s="7">
        <f t="shared" si="9"/>
        <v>-18411.924500000008</v>
      </c>
      <c r="H47" s="7">
        <f t="shared" si="9"/>
        <v>0</v>
      </c>
    </row>
    <row r="48" spans="1:8" ht="14.25" customHeight="1" x14ac:dyDescent="0.3">
      <c r="B48" s="8"/>
      <c r="C48" s="8"/>
      <c r="D48" s="8"/>
      <c r="E48" s="8"/>
      <c r="F48" s="8"/>
      <c r="G48" s="8"/>
      <c r="H48" s="8"/>
    </row>
    <row r="49" spans="1:8" ht="18" customHeight="1" x14ac:dyDescent="0.3">
      <c r="A49" s="35" t="s">
        <v>19</v>
      </c>
      <c r="B49" s="36"/>
      <c r="C49" s="37"/>
      <c r="D49" s="37"/>
      <c r="E49" s="36"/>
      <c r="F49" s="36"/>
      <c r="G49" s="36"/>
      <c r="H49" s="37"/>
    </row>
    <row r="50" spans="1:8" ht="18" customHeight="1" x14ac:dyDescent="0.3">
      <c r="A50" s="2" t="s">
        <v>97</v>
      </c>
      <c r="B50" s="5">
        <v>32873.735999999997</v>
      </c>
      <c r="C50" s="5"/>
      <c r="D50" s="5">
        <f>SUMIF(Material!$E:$E,TRIM(A50),Material!$F:$F)</f>
        <v>25812.63</v>
      </c>
      <c r="E50" s="5">
        <f>SUM(C50:D50)</f>
        <v>25812.63</v>
      </c>
      <c r="F50" s="5">
        <f>IF(AND(B50&gt;0,B50&gt;E50),B50-E50,0)</f>
        <v>7061.1059999999961</v>
      </c>
      <c r="G50" s="5">
        <v>0</v>
      </c>
      <c r="H50" s="5">
        <v>0</v>
      </c>
    </row>
    <row r="51" spans="1:8" ht="18" customHeight="1" x14ac:dyDescent="0.3">
      <c r="A51" s="9" t="s">
        <v>122</v>
      </c>
      <c r="B51" s="10">
        <v>6300</v>
      </c>
      <c r="C51" s="10"/>
      <c r="D51" s="10">
        <f>SUMIF(Material!$E:$E,TRIM(A51),Material!$F:$F)</f>
        <v>0</v>
      </c>
      <c r="E51" s="10">
        <f>SUM(C51:D51)</f>
        <v>0</v>
      </c>
      <c r="F51" s="10">
        <f>IF(AND(B51&gt;0,B51&gt;E51),B51-E51,0)</f>
        <v>6300</v>
      </c>
      <c r="G51" s="10">
        <v>0</v>
      </c>
      <c r="H51" s="10">
        <v>0</v>
      </c>
    </row>
    <row r="52" spans="1:8" ht="18" customHeight="1" x14ac:dyDescent="0.3">
      <c r="A52" s="6" t="s">
        <v>20</v>
      </c>
      <c r="B52" s="7">
        <f>SUM(B50:B51)</f>
        <v>39173.735999999997</v>
      </c>
      <c r="C52" s="7">
        <f t="shared" ref="C52:H52" si="10">SUM(C50:C51)</f>
        <v>0</v>
      </c>
      <c r="D52" s="7">
        <f t="shared" si="10"/>
        <v>25812.63</v>
      </c>
      <c r="E52" s="7">
        <f t="shared" si="10"/>
        <v>25812.63</v>
      </c>
      <c r="F52" s="7">
        <f t="shared" si="10"/>
        <v>13361.105999999996</v>
      </c>
      <c r="G52" s="7">
        <f t="shared" si="10"/>
        <v>0</v>
      </c>
      <c r="H52" s="7">
        <f t="shared" si="10"/>
        <v>0</v>
      </c>
    </row>
    <row r="53" spans="1:8" ht="14.25" customHeight="1" x14ac:dyDescent="0.3">
      <c r="B53" s="8"/>
      <c r="C53" s="8"/>
      <c r="D53" s="8"/>
      <c r="E53" s="8"/>
      <c r="F53" s="8"/>
      <c r="G53" s="8"/>
      <c r="H53" s="8"/>
    </row>
    <row r="54" spans="1:8" ht="18" customHeight="1" x14ac:dyDescent="0.3">
      <c r="A54" s="35" t="s">
        <v>21</v>
      </c>
      <c r="B54" s="36"/>
      <c r="C54" s="37"/>
      <c r="D54" s="37"/>
      <c r="E54" s="36"/>
      <c r="F54" s="36"/>
      <c r="G54" s="36"/>
      <c r="H54" s="37"/>
    </row>
    <row r="55" spans="1:8" ht="18" customHeight="1" x14ac:dyDescent="0.3">
      <c r="A55" s="2" t="s">
        <v>98</v>
      </c>
      <c r="B55" s="5">
        <v>9450</v>
      </c>
      <c r="C55" s="5"/>
      <c r="D55" s="5">
        <f>SUMIF(Material!$E:$E,TRIM(A55),Material!$F:$F)</f>
        <v>5894.34</v>
      </c>
      <c r="E55" s="5">
        <f>SUM(C55:D55)</f>
        <v>5894.34</v>
      </c>
      <c r="F55" s="5">
        <f>IF(AND(B55&gt;0,B55&gt;E55),B55-E55,0)</f>
        <v>3555.66</v>
      </c>
      <c r="G55" s="5">
        <f>IF(AND(B55&gt;0,B55&lt;E55),B55-E55,0)</f>
        <v>0</v>
      </c>
      <c r="H55" s="5">
        <f>IF(AND(B55=0,B55&lt;E55),E55-B55,0)</f>
        <v>0</v>
      </c>
    </row>
    <row r="56" spans="1:8" ht="18" customHeight="1" x14ac:dyDescent="0.3">
      <c r="A56" s="9" t="s">
        <v>99</v>
      </c>
      <c r="B56" s="10">
        <v>5250</v>
      </c>
      <c r="C56" s="10"/>
      <c r="D56" s="10">
        <f>SUMIF(Material!$E:$E,TRIM(A56),Material!$F:$F)</f>
        <v>265.98</v>
      </c>
      <c r="E56" s="10">
        <f>SUM(C56:D56)</f>
        <v>265.98</v>
      </c>
      <c r="F56" s="10">
        <f>IF(AND(B56&gt;0,B56&gt;E56),B56-E56,0)</f>
        <v>4984.0200000000004</v>
      </c>
      <c r="G56" s="10">
        <f>IF(AND(B56&gt;0,B56&lt;E56),B56-E56,0)</f>
        <v>0</v>
      </c>
      <c r="H56" s="10">
        <f>IF(AND(B56=0,B56&lt;E56),E56-B56,0)</f>
        <v>0</v>
      </c>
    </row>
    <row r="57" spans="1:8" ht="18" customHeight="1" x14ac:dyDescent="0.3">
      <c r="A57" s="2" t="s">
        <v>100</v>
      </c>
      <c r="B57" s="5">
        <v>20250.415499999999</v>
      </c>
      <c r="C57" s="5"/>
      <c r="D57" s="5">
        <f>SUMIF(Material!$E:$E,TRIM(A57),Material!$F:$F)</f>
        <v>0</v>
      </c>
      <c r="E57" s="5">
        <f>SUM(C57:D57)</f>
        <v>0</v>
      </c>
      <c r="F57" s="5">
        <f>IF(AND(B57&gt;0,B57&gt;E57),B57-E57,0)</f>
        <v>20250.415499999999</v>
      </c>
      <c r="G57" s="5">
        <f>IF(AND(B57&gt;0,B57&lt;E57),B57-E57,0)</f>
        <v>0</v>
      </c>
      <c r="H57" s="5">
        <f>IF(AND(B57=0,B57&lt;E57),E57-B57,0)</f>
        <v>0</v>
      </c>
    </row>
    <row r="58" spans="1:8" ht="18" customHeight="1" x14ac:dyDescent="0.3">
      <c r="A58" s="9" t="s">
        <v>101</v>
      </c>
      <c r="B58" s="10">
        <v>1575</v>
      </c>
      <c r="C58" s="10"/>
      <c r="D58" s="10">
        <f>SUMIF(Material!$E:$E,TRIM(A58),Material!$F:$F)</f>
        <v>0</v>
      </c>
      <c r="E58" s="10">
        <f>SUM(C58:D58)</f>
        <v>0</v>
      </c>
      <c r="F58" s="10">
        <f>IF(AND(B58&gt;0,B58&gt;E58),B58-E58,0)</f>
        <v>1575</v>
      </c>
      <c r="G58" s="10">
        <f>IF(AND(B58&gt;0,B58&lt;E58),B58-E58,0)</f>
        <v>0</v>
      </c>
      <c r="H58" s="10">
        <f>IF(AND(B58=0,B58&lt;E58),E58-B58,0)</f>
        <v>0</v>
      </c>
    </row>
    <row r="59" spans="1:8" ht="18" customHeight="1" x14ac:dyDescent="0.3">
      <c r="A59" s="18" t="s">
        <v>102</v>
      </c>
      <c r="B59" s="19">
        <v>16168.509</v>
      </c>
      <c r="C59" s="19"/>
      <c r="D59" s="19">
        <f>SUMIF(Material!$E:$E,TRIM(A59),Material!$F:$F)</f>
        <v>15118.53</v>
      </c>
      <c r="E59" s="19">
        <f>SUM(C59:D59)</f>
        <v>15118.53</v>
      </c>
      <c r="F59" s="5">
        <f>IF(AND(B59&gt;0,B59&gt;E59),B59-E59,0)</f>
        <v>1049.9789999999994</v>
      </c>
      <c r="G59" s="5">
        <f>IF(AND(B59&gt;0,B59&lt;E59),B59-E59,0)</f>
        <v>0</v>
      </c>
      <c r="H59" s="5">
        <f>IF(AND(B59=0,B59&lt;E59),E59-B59,0)</f>
        <v>0</v>
      </c>
    </row>
    <row r="60" spans="1:8" ht="18" customHeight="1" x14ac:dyDescent="0.3">
      <c r="A60" s="6" t="s">
        <v>22</v>
      </c>
      <c r="B60" s="7">
        <f>SUM(B55:B59)</f>
        <v>52693.924500000001</v>
      </c>
      <c r="C60" s="7">
        <f t="shared" ref="C60:H60" si="11">SUM(C55:C59)</f>
        <v>0</v>
      </c>
      <c r="D60" s="7">
        <f t="shared" si="11"/>
        <v>21278.85</v>
      </c>
      <c r="E60" s="7">
        <f t="shared" si="11"/>
        <v>21278.85</v>
      </c>
      <c r="F60" s="7">
        <f t="shared" si="11"/>
        <v>31415.074499999999</v>
      </c>
      <c r="G60" s="7">
        <f t="shared" si="11"/>
        <v>0</v>
      </c>
      <c r="H60" s="7">
        <f t="shared" si="11"/>
        <v>0</v>
      </c>
    </row>
    <row r="61" spans="1:8" ht="14.25" customHeight="1" x14ac:dyDescent="0.3">
      <c r="B61" s="8"/>
      <c r="C61" s="8"/>
      <c r="D61" s="8"/>
      <c r="E61" s="8"/>
      <c r="F61" s="8"/>
      <c r="G61" s="8"/>
      <c r="H61" s="8"/>
    </row>
    <row r="62" spans="1:8" ht="18" customHeight="1" x14ac:dyDescent="0.3">
      <c r="A62" s="35" t="s">
        <v>23</v>
      </c>
      <c r="B62" s="36"/>
      <c r="C62" s="37"/>
      <c r="D62" s="37"/>
      <c r="E62" s="36"/>
      <c r="F62" s="36"/>
      <c r="G62" s="36"/>
      <c r="H62" s="37"/>
    </row>
    <row r="63" spans="1:8" ht="18" customHeight="1" x14ac:dyDescent="0.3">
      <c r="A63" s="2" t="s">
        <v>103</v>
      </c>
      <c r="B63" s="5">
        <v>70733.25</v>
      </c>
      <c r="C63" s="5"/>
      <c r="D63" s="5">
        <f>SUMIF(Material!$E:$E,TRIM(A63),Material!$F:$F)</f>
        <v>55228.710000000006</v>
      </c>
      <c r="E63" s="5">
        <f>SUM(C63:D63)</f>
        <v>55228.710000000006</v>
      </c>
      <c r="F63" s="5">
        <f>IF(AND(B63&gt;0,B63&gt;E63),B63-E63,0)</f>
        <v>15504.539999999994</v>
      </c>
      <c r="G63" s="5">
        <f>IF(AND(B63&gt;0,B63&lt;E63),B63-E63,0)</f>
        <v>0</v>
      </c>
      <c r="H63" s="5">
        <f>IF(AND(B63=0,B63&lt;E63),E63-B63,0)</f>
        <v>0</v>
      </c>
    </row>
    <row r="64" spans="1:8" ht="18" customHeight="1" x14ac:dyDescent="0.3">
      <c r="A64" s="9" t="s">
        <v>494</v>
      </c>
      <c r="B64" s="10">
        <v>0</v>
      </c>
      <c r="C64" s="10"/>
      <c r="D64" s="10">
        <f>SUMIF(Material!$E:$E,TRIM(A64),Material!$F:$F)</f>
        <v>7333.67</v>
      </c>
      <c r="E64" s="10">
        <f>SUM(C64:D64)</f>
        <v>7333.67</v>
      </c>
      <c r="F64" s="10">
        <f>IF(AND(B64&gt;0,B64&gt;E64),B64-E64,0)</f>
        <v>0</v>
      </c>
      <c r="G64" s="10">
        <f>IF(AND(B64&gt;0,B64&lt;E64),B64-E64,0)</f>
        <v>0</v>
      </c>
      <c r="H64" s="10">
        <f>IF(AND(B64=0,B64&lt;E64),E64-B64,0)</f>
        <v>7333.67</v>
      </c>
    </row>
    <row r="65" spans="1:9" ht="18" customHeight="1" x14ac:dyDescent="0.3">
      <c r="A65" s="9" t="s">
        <v>104</v>
      </c>
      <c r="B65" s="10">
        <v>1050</v>
      </c>
      <c r="C65" s="10"/>
      <c r="D65" s="10">
        <f>SUMIF(Material!$E:$E,TRIM(A65),Material!$F:$F)</f>
        <v>0</v>
      </c>
      <c r="E65" s="10">
        <f>SUM(C65:D65)</f>
        <v>0</v>
      </c>
      <c r="F65" s="10">
        <f>IF(AND(B65&gt;0,B65&gt;E65),B65-E65,0)</f>
        <v>1050</v>
      </c>
      <c r="G65" s="10">
        <f>IF(AND(B65&gt;0,B65&lt;E65),B65-E65,0)</f>
        <v>0</v>
      </c>
      <c r="H65" s="10">
        <f>IF(AND(B65=0,B65&lt;E65),E65-B65,0)</f>
        <v>0</v>
      </c>
    </row>
    <row r="66" spans="1:9" ht="18" customHeight="1" x14ac:dyDescent="0.3">
      <c r="A66" s="25" t="s">
        <v>105</v>
      </c>
      <c r="B66" s="26">
        <v>3675</v>
      </c>
      <c r="C66" s="26"/>
      <c r="D66" s="26">
        <f>SUMIF(Material!$E:$E,TRIM(A66),Material!$F:$F)</f>
        <v>4887.75</v>
      </c>
      <c r="E66" s="26">
        <f>SUM(C66:D66)</f>
        <v>4887.75</v>
      </c>
      <c r="F66" s="26">
        <f>IF(AND(B66&gt;0,B66&gt;E66),B66-E66,0)</f>
        <v>0</v>
      </c>
      <c r="G66" s="26">
        <f>IF(AND(B66&gt;0,B66&lt;E66),B66-E66,0)</f>
        <v>-1212.75</v>
      </c>
      <c r="H66" s="26">
        <f>IF(AND(B66=0,B66&lt;E66),E66-B66,0)</f>
        <v>0</v>
      </c>
      <c r="I66" s="24"/>
    </row>
    <row r="67" spans="1:9" ht="18" customHeight="1" x14ac:dyDescent="0.3">
      <c r="A67" s="6" t="s">
        <v>24</v>
      </c>
      <c r="B67" s="7">
        <f t="shared" ref="B67:H67" si="12">SUM(B63:B66)</f>
        <v>75458.25</v>
      </c>
      <c r="C67" s="7">
        <f t="shared" si="12"/>
        <v>0</v>
      </c>
      <c r="D67" s="7">
        <f t="shared" si="12"/>
        <v>67450.13</v>
      </c>
      <c r="E67" s="7">
        <f t="shared" si="12"/>
        <v>67450.13</v>
      </c>
      <c r="F67" s="7">
        <f t="shared" si="12"/>
        <v>16554.539999999994</v>
      </c>
      <c r="G67" s="7">
        <f t="shared" si="12"/>
        <v>-1212.75</v>
      </c>
      <c r="H67" s="7">
        <f t="shared" si="12"/>
        <v>7333.67</v>
      </c>
    </row>
    <row r="68" spans="1:9" ht="14.25" customHeight="1" x14ac:dyDescent="0.3">
      <c r="B68" s="8"/>
      <c r="C68" s="8"/>
      <c r="D68" s="8"/>
      <c r="E68" s="8"/>
      <c r="F68" s="8"/>
      <c r="G68" s="8"/>
      <c r="H68" s="8"/>
      <c r="I68" s="24"/>
    </row>
    <row r="69" spans="1:9" ht="18" customHeight="1" x14ac:dyDescent="0.3">
      <c r="A69" s="35" t="s">
        <v>25</v>
      </c>
      <c r="B69" s="36"/>
      <c r="C69" s="37"/>
      <c r="D69" s="37"/>
      <c r="E69" s="36"/>
      <c r="F69" s="36"/>
      <c r="G69" s="36"/>
      <c r="H69" s="37"/>
    </row>
    <row r="70" spans="1:9" ht="18" customHeight="1" x14ac:dyDescent="0.3">
      <c r="A70" s="2" t="s">
        <v>106</v>
      </c>
      <c r="B70" s="5">
        <v>26250</v>
      </c>
      <c r="C70" s="5"/>
      <c r="D70" s="5">
        <f>SUMIF(Material!$E:$E,TRIM(A70),Material!$F:$F)</f>
        <v>29427.32</v>
      </c>
      <c r="E70" s="5">
        <f>SUM(C70:D70)</f>
        <v>29427.32</v>
      </c>
      <c r="F70" s="5">
        <f>IF(AND(B70&gt;0,B70&gt;E70),B70-E70,0)</f>
        <v>0</v>
      </c>
      <c r="G70" s="5">
        <f>IF(AND(B70&gt;0,B70&lt;E70),B70-E70,0)</f>
        <v>-3177.3199999999997</v>
      </c>
      <c r="H70" s="5">
        <f>IF(AND(B70=0,B70&lt;E70),E70-B70,0)</f>
        <v>0</v>
      </c>
      <c r="I70" s="27"/>
    </row>
    <row r="71" spans="1:9" ht="18" customHeight="1" x14ac:dyDescent="0.3">
      <c r="A71" s="6" t="s">
        <v>26</v>
      </c>
      <c r="B71" s="7">
        <f t="shared" ref="B71:H71" si="13">SUM(B70:B70)</f>
        <v>26250</v>
      </c>
      <c r="C71" s="7">
        <f t="shared" si="13"/>
        <v>0</v>
      </c>
      <c r="D71" s="7">
        <f t="shared" si="13"/>
        <v>29427.32</v>
      </c>
      <c r="E71" s="7">
        <f t="shared" si="13"/>
        <v>29427.32</v>
      </c>
      <c r="F71" s="7">
        <f t="shared" si="13"/>
        <v>0</v>
      </c>
      <c r="G71" s="7">
        <f t="shared" si="13"/>
        <v>-3177.3199999999997</v>
      </c>
      <c r="H71" s="7">
        <f t="shared" si="13"/>
        <v>0</v>
      </c>
    </row>
    <row r="72" spans="1:9" ht="14.25" customHeight="1" x14ac:dyDescent="0.3">
      <c r="B72" s="8"/>
      <c r="C72" s="8"/>
      <c r="D72" s="8"/>
      <c r="E72" s="8"/>
      <c r="F72" s="8"/>
      <c r="G72" s="8"/>
      <c r="H72" s="8"/>
    </row>
    <row r="73" spans="1:9" ht="18" customHeight="1" x14ac:dyDescent="0.3">
      <c r="A73" s="35" t="s">
        <v>27</v>
      </c>
      <c r="B73" s="36"/>
      <c r="C73" s="37"/>
      <c r="D73" s="37"/>
      <c r="E73" s="36"/>
      <c r="F73" s="36"/>
      <c r="G73" s="36"/>
      <c r="H73" s="37"/>
    </row>
    <row r="74" spans="1:9" ht="18" customHeight="1" x14ac:dyDescent="0.3">
      <c r="A74" s="2" t="s">
        <v>107</v>
      </c>
      <c r="B74" s="5">
        <v>56852.25</v>
      </c>
      <c r="C74" s="5"/>
      <c r="D74" s="5">
        <f>SUMIF(Material!$E:$E,TRIM(A74),Material!$F:$F)</f>
        <v>29581.13</v>
      </c>
      <c r="E74" s="5">
        <f>SUM(C74:D74)</f>
        <v>29581.13</v>
      </c>
      <c r="F74" s="5">
        <f>IF(AND(B74&gt;0,B74&gt;E74),B74-E74,0)</f>
        <v>27271.119999999999</v>
      </c>
      <c r="G74" s="5">
        <f>IF(AND(B74&gt;0,B74&lt;E74),B74-E74,0)</f>
        <v>0</v>
      </c>
      <c r="H74" s="5">
        <f>IF(AND(B74=0,B74&lt;E74),E74-B74,0)</f>
        <v>0</v>
      </c>
    </row>
    <row r="75" spans="1:9" ht="18" customHeight="1" x14ac:dyDescent="0.3">
      <c r="A75" s="9" t="s">
        <v>108</v>
      </c>
      <c r="B75" s="10">
        <v>4688.25</v>
      </c>
      <c r="C75" s="10"/>
      <c r="D75" s="10">
        <f>SUMIF(Material!$E:$E,TRIM(A75),Material!$F:$F)</f>
        <v>0</v>
      </c>
      <c r="E75" s="10">
        <f>SUM(C75:D75)</f>
        <v>0</v>
      </c>
      <c r="F75" s="10">
        <f>IF(AND(B75&gt;0,B75&gt;E75),B75-E75,0)</f>
        <v>4688.25</v>
      </c>
      <c r="G75" s="10">
        <f>IF(AND(B75&gt;0,B75&lt;E75),B75-E75,0)</f>
        <v>0</v>
      </c>
      <c r="H75" s="10">
        <f>IF(AND(B75=0,B75&lt;E75),E75-B75,0)</f>
        <v>0</v>
      </c>
    </row>
    <row r="76" spans="1:9" ht="18" customHeight="1" x14ac:dyDescent="0.3">
      <c r="A76" s="2" t="s">
        <v>109</v>
      </c>
      <c r="B76" s="5">
        <v>3517.5</v>
      </c>
      <c r="C76" s="5"/>
      <c r="D76" s="5">
        <f>SUMIF(Material!$E:$E,TRIM(A76),Material!$F:$F)</f>
        <v>0</v>
      </c>
      <c r="E76" s="5">
        <f>SUM(C76:D76)</f>
        <v>0</v>
      </c>
      <c r="F76" s="5">
        <f>IF(AND(B76&gt;0,B76&gt;E76),B76-E76,0)</f>
        <v>3517.5</v>
      </c>
      <c r="G76" s="5">
        <f>IF(AND(B76&gt;0,B76&lt;E76),B76-E76,0)</f>
        <v>0</v>
      </c>
      <c r="H76" s="5">
        <f>IF(AND(B76=0,B76&lt;E76),E76-B76,0)</f>
        <v>0</v>
      </c>
    </row>
    <row r="77" spans="1:9" ht="18" customHeight="1" x14ac:dyDescent="0.3">
      <c r="A77" s="9" t="s">
        <v>110</v>
      </c>
      <c r="B77" s="10">
        <v>577.5</v>
      </c>
      <c r="C77" s="10"/>
      <c r="D77" s="10">
        <f>SUMIF(Material!$E:$E,TRIM(A77),Material!$F:$F)</f>
        <v>0</v>
      </c>
      <c r="E77" s="10">
        <f>SUM(C77:D77)</f>
        <v>0</v>
      </c>
      <c r="F77" s="10">
        <f>IF(AND(B77&gt;0,B77&gt;E77),B77-E77,0)</f>
        <v>577.5</v>
      </c>
      <c r="G77" s="10">
        <f>IF(AND(B77&gt;0,B77&lt;E77),B77-E77,0)</f>
        <v>0</v>
      </c>
      <c r="H77" s="10">
        <f>IF(AND(B77=0,B77&lt;E77),E77-B77,0)</f>
        <v>0</v>
      </c>
    </row>
    <row r="78" spans="1:9" ht="18" customHeight="1" x14ac:dyDescent="0.3">
      <c r="A78" s="2" t="s">
        <v>111</v>
      </c>
      <c r="B78" s="5">
        <v>577.5</v>
      </c>
      <c r="C78" s="5"/>
      <c r="D78" s="5">
        <f>SUMIF(Material!$E:$E,TRIM(A78),Material!$F:$F)</f>
        <v>0</v>
      </c>
      <c r="E78" s="5">
        <f>SUM(C78:D78)</f>
        <v>0</v>
      </c>
      <c r="F78" s="5">
        <f>IF(AND(B78&gt;0,B78&gt;E78),B78-E78,0)</f>
        <v>577.5</v>
      </c>
      <c r="G78" s="5">
        <f>IF(AND(B78&gt;0,B78&lt;E78),B78-E78,0)</f>
        <v>0</v>
      </c>
      <c r="H78" s="5">
        <f>IF(AND(B78=0,B78&lt;E78),E78-B78,0)</f>
        <v>0</v>
      </c>
    </row>
    <row r="79" spans="1:9" ht="18" customHeight="1" x14ac:dyDescent="0.3">
      <c r="A79" s="6" t="s">
        <v>28</v>
      </c>
      <c r="B79" s="7">
        <f t="shared" ref="B79:H79" si="14">SUM(B74:B78)</f>
        <v>66213</v>
      </c>
      <c r="C79" s="7">
        <f t="shared" si="14"/>
        <v>0</v>
      </c>
      <c r="D79" s="7">
        <f t="shared" si="14"/>
        <v>29581.13</v>
      </c>
      <c r="E79" s="7">
        <f t="shared" si="14"/>
        <v>29581.13</v>
      </c>
      <c r="F79" s="7">
        <f t="shared" si="14"/>
        <v>36631.869999999995</v>
      </c>
      <c r="G79" s="7">
        <f t="shared" si="14"/>
        <v>0</v>
      </c>
      <c r="H79" s="7">
        <f t="shared" si="14"/>
        <v>0</v>
      </c>
    </row>
    <row r="80" spans="1:9" ht="14.25" customHeight="1" x14ac:dyDescent="0.3">
      <c r="B80" s="8"/>
      <c r="C80" s="8"/>
      <c r="D80" s="8"/>
      <c r="E80" s="8"/>
      <c r="F80" s="8"/>
      <c r="G80" s="8"/>
      <c r="H80" s="8"/>
    </row>
    <row r="81" spans="1:8" ht="18" customHeight="1" x14ac:dyDescent="0.3">
      <c r="A81" s="35" t="s">
        <v>29</v>
      </c>
      <c r="B81" s="36"/>
      <c r="C81" s="37"/>
      <c r="D81" s="37"/>
      <c r="E81" s="36"/>
      <c r="F81" s="36"/>
      <c r="G81" s="36"/>
      <c r="H81" s="37"/>
    </row>
    <row r="82" spans="1:8" ht="18" customHeight="1" x14ac:dyDescent="0.3">
      <c r="A82" s="2" t="s">
        <v>112</v>
      </c>
      <c r="B82" s="5">
        <v>34545</v>
      </c>
      <c r="C82" s="5"/>
      <c r="D82" s="5">
        <f>SUMIF(Material!$E:$E,TRIM(A82),Material!$F:$F)</f>
        <v>22687.23</v>
      </c>
      <c r="E82" s="5">
        <f>SUM(C82:D82)</f>
        <v>22687.23</v>
      </c>
      <c r="F82" s="5">
        <f>IF(AND(B82&gt;0,B82&gt;E82),B82-E82,0)</f>
        <v>11857.77</v>
      </c>
      <c r="G82" s="5">
        <f>IF(AND(B82&gt;0,B82&lt;E82),B82-E82,0)</f>
        <v>0</v>
      </c>
      <c r="H82" s="5">
        <f>IF(AND(B82=0,B82&lt;E82),E82-B82,0)</f>
        <v>0</v>
      </c>
    </row>
    <row r="83" spans="1:8" ht="18" customHeight="1" x14ac:dyDescent="0.3">
      <c r="A83" s="6" t="s">
        <v>30</v>
      </c>
      <c r="B83" s="7">
        <f>SUM(B82:B82)</f>
        <v>34545</v>
      </c>
      <c r="C83" s="7">
        <f t="shared" ref="C83:H83" si="15">SUM(C82:C82)</f>
        <v>0</v>
      </c>
      <c r="D83" s="7">
        <f t="shared" si="15"/>
        <v>22687.23</v>
      </c>
      <c r="E83" s="7">
        <f t="shared" si="15"/>
        <v>22687.23</v>
      </c>
      <c r="F83" s="7">
        <f t="shared" si="15"/>
        <v>11857.77</v>
      </c>
      <c r="G83" s="7">
        <f t="shared" si="15"/>
        <v>0</v>
      </c>
      <c r="H83" s="7">
        <f t="shared" si="15"/>
        <v>0</v>
      </c>
    </row>
    <row r="84" spans="1:8" ht="14.25" customHeight="1" x14ac:dyDescent="0.3">
      <c r="B84" s="8"/>
      <c r="C84" s="8"/>
      <c r="D84" s="8"/>
      <c r="E84" s="8"/>
      <c r="F84" s="8"/>
      <c r="G84" s="8"/>
      <c r="H84" s="8"/>
    </row>
    <row r="85" spans="1:8" ht="18" customHeight="1" x14ac:dyDescent="0.3">
      <c r="A85" s="35" t="s">
        <v>31</v>
      </c>
      <c r="B85" s="36"/>
      <c r="C85" s="37"/>
      <c r="D85" s="37"/>
      <c r="E85" s="36"/>
      <c r="F85" s="36"/>
      <c r="G85" s="36"/>
      <c r="H85" s="37"/>
    </row>
    <row r="86" spans="1:8" ht="18" customHeight="1" x14ac:dyDescent="0.3">
      <c r="A86" s="2" t="s">
        <v>164</v>
      </c>
      <c r="B86" s="5">
        <v>38921.7045</v>
      </c>
      <c r="C86" s="5"/>
      <c r="D86" s="5">
        <f>SUMIF(Material!$E:$E,TRIM(A86),Material!$F:$F)</f>
        <v>0</v>
      </c>
      <c r="E86" s="5">
        <f>SUM(C86:D86)</f>
        <v>0</v>
      </c>
      <c r="F86" s="5">
        <f>IF(AND(B86&gt;0,B86&gt;E86),B86-E86,0)</f>
        <v>38921.7045</v>
      </c>
      <c r="G86" s="5">
        <f>IF(AND(B86&gt;0,B86&lt;E86),B86-E86,0)</f>
        <v>0</v>
      </c>
      <c r="H86" s="5">
        <f>IF(AND(B86=0,B86&lt;E86),E86-B86,0)</f>
        <v>0</v>
      </c>
    </row>
    <row r="87" spans="1:8" ht="18" customHeight="1" x14ac:dyDescent="0.3">
      <c r="A87" s="9" t="s">
        <v>165</v>
      </c>
      <c r="B87" s="10">
        <v>50539.891499999998</v>
      </c>
      <c r="C87" s="10"/>
      <c r="D87" s="10">
        <f>SUMIF(Material!$E:$E,TRIM(A87),Material!$F:$F)</f>
        <v>89461.6</v>
      </c>
      <c r="E87" s="10">
        <f>SUM(C87:D87)</f>
        <v>89461.6</v>
      </c>
      <c r="F87" s="10">
        <f>IF(AND(B87&gt;0,B87&gt;E87),B87-E87,0)</f>
        <v>0</v>
      </c>
      <c r="G87" s="10">
        <f>IF(AND(B87&gt;0,B87&lt;E87),B87-E87,0)</f>
        <v>-38921.708500000008</v>
      </c>
      <c r="H87" s="10">
        <f>IF(AND(B87=0,B87&lt;E87),E87-B87,0)</f>
        <v>0</v>
      </c>
    </row>
    <row r="88" spans="1:8" ht="18" customHeight="1" x14ac:dyDescent="0.3">
      <c r="A88" s="6" t="s">
        <v>32</v>
      </c>
      <c r="B88" s="7">
        <f>SUM(B86:B87)</f>
        <v>89461.59599999999</v>
      </c>
      <c r="C88" s="7">
        <f t="shared" ref="C88:H88" si="16">SUM(C86:C87)</f>
        <v>0</v>
      </c>
      <c r="D88" s="7">
        <f t="shared" si="16"/>
        <v>89461.6</v>
      </c>
      <c r="E88" s="7">
        <f t="shared" si="16"/>
        <v>89461.6</v>
      </c>
      <c r="F88" s="7">
        <f t="shared" si="16"/>
        <v>38921.7045</v>
      </c>
      <c r="G88" s="7">
        <f t="shared" si="16"/>
        <v>-38921.708500000008</v>
      </c>
      <c r="H88" s="7">
        <f t="shared" si="16"/>
        <v>0</v>
      </c>
    </row>
    <row r="89" spans="1:8" ht="14.25" customHeight="1" x14ac:dyDescent="0.3">
      <c r="B89" s="8"/>
      <c r="C89" s="8"/>
      <c r="D89" s="8"/>
      <c r="E89" s="8"/>
      <c r="F89" s="8"/>
      <c r="G89" s="8"/>
      <c r="H89" s="8"/>
    </row>
    <row r="90" spans="1:8" ht="18" customHeight="1" x14ac:dyDescent="0.3">
      <c r="A90" s="35" t="s">
        <v>33</v>
      </c>
      <c r="B90" s="36"/>
      <c r="C90" s="37"/>
      <c r="D90" s="37"/>
      <c r="E90" s="36"/>
      <c r="F90" s="36"/>
      <c r="G90" s="36"/>
      <c r="H90" s="37"/>
    </row>
    <row r="91" spans="1:8" ht="18" customHeight="1" x14ac:dyDescent="0.3">
      <c r="A91" s="2" t="s">
        <v>113</v>
      </c>
      <c r="B91" s="5">
        <v>18640.041000000001</v>
      </c>
      <c r="C91" s="5"/>
      <c r="D91" s="5">
        <f>SUMIF(Material!$E:$E,TRIM(A91),Material!$F:$F)</f>
        <v>14171.96</v>
      </c>
      <c r="E91" s="5">
        <f t="shared" ref="E91:E96" si="17">SUM(C91:D91)</f>
        <v>14171.96</v>
      </c>
      <c r="F91" s="5">
        <f t="shared" ref="F91:F96" si="18">IF(AND(B91&gt;0,B91&gt;E91),B91-E91,0)</f>
        <v>4468.0810000000019</v>
      </c>
      <c r="G91" s="5">
        <f t="shared" ref="G91:G96" si="19">IF(AND(B91&gt;0,B91&lt;E91),B91-E91,0)</f>
        <v>0</v>
      </c>
      <c r="H91" s="5">
        <f t="shared" ref="H91:H96" si="20">IF(AND(B91=0,B91&lt;E91),E91-B91,0)</f>
        <v>0</v>
      </c>
    </row>
    <row r="92" spans="1:8" ht="18" customHeight="1" x14ac:dyDescent="0.3">
      <c r="A92" s="9" t="s">
        <v>114</v>
      </c>
      <c r="B92" s="10">
        <v>15093.75</v>
      </c>
      <c r="C92" s="10"/>
      <c r="D92" s="10">
        <f>SUMIF(Material!$E:$E,TRIM(A92),Material!$F:$F)</f>
        <v>0</v>
      </c>
      <c r="E92" s="10">
        <f t="shared" si="17"/>
        <v>0</v>
      </c>
      <c r="F92" s="10">
        <f t="shared" si="18"/>
        <v>15093.75</v>
      </c>
      <c r="G92" s="10">
        <f t="shared" si="19"/>
        <v>0</v>
      </c>
      <c r="H92" s="10">
        <f t="shared" si="20"/>
        <v>0</v>
      </c>
    </row>
    <row r="93" spans="1:8" ht="18" customHeight="1" x14ac:dyDescent="0.3">
      <c r="A93" s="2" t="s">
        <v>115</v>
      </c>
      <c r="B93" s="5">
        <v>5307.75</v>
      </c>
      <c r="C93" s="5"/>
      <c r="D93" s="5">
        <f>SUMIF(Material!$E:$E,TRIM(A93),Material!$F:$F)</f>
        <v>0</v>
      </c>
      <c r="E93" s="5">
        <f t="shared" si="17"/>
        <v>0</v>
      </c>
      <c r="F93" s="5">
        <f t="shared" si="18"/>
        <v>5307.75</v>
      </c>
      <c r="G93" s="5">
        <f t="shared" si="19"/>
        <v>0</v>
      </c>
      <c r="H93" s="5">
        <f t="shared" si="20"/>
        <v>0</v>
      </c>
    </row>
    <row r="94" spans="1:8" ht="18" customHeight="1" x14ac:dyDescent="0.3">
      <c r="A94" s="9" t="s">
        <v>116</v>
      </c>
      <c r="B94" s="10">
        <v>6699</v>
      </c>
      <c r="C94" s="10"/>
      <c r="D94" s="10">
        <f>SUMIF(Material!$E:$E,TRIM(A94),Material!$F:$F)</f>
        <v>0</v>
      </c>
      <c r="E94" s="10">
        <f t="shared" si="17"/>
        <v>0</v>
      </c>
      <c r="F94" s="10">
        <f t="shared" si="18"/>
        <v>6699</v>
      </c>
      <c r="G94" s="10">
        <f t="shared" si="19"/>
        <v>0</v>
      </c>
      <c r="H94" s="10">
        <f t="shared" si="20"/>
        <v>0</v>
      </c>
    </row>
    <row r="95" spans="1:8" ht="18" customHeight="1" x14ac:dyDescent="0.3">
      <c r="A95" s="2" t="s">
        <v>117</v>
      </c>
      <c r="B95" s="5">
        <v>6023.2094999999999</v>
      </c>
      <c r="C95" s="5"/>
      <c r="D95" s="5">
        <f>SUMIF(Material!$E:$E,TRIM(A95),Material!$F:$F)</f>
        <v>0</v>
      </c>
      <c r="E95" s="5">
        <f t="shared" si="17"/>
        <v>0</v>
      </c>
      <c r="F95" s="5">
        <f t="shared" si="18"/>
        <v>6023.2094999999999</v>
      </c>
      <c r="G95" s="5">
        <f t="shared" si="19"/>
        <v>0</v>
      </c>
      <c r="H95" s="5">
        <f t="shared" si="20"/>
        <v>0</v>
      </c>
    </row>
    <row r="96" spans="1:8" ht="18" customHeight="1" x14ac:dyDescent="0.3">
      <c r="A96" s="9" t="s">
        <v>118</v>
      </c>
      <c r="B96" s="10">
        <v>21000</v>
      </c>
      <c r="C96" s="10"/>
      <c r="D96" s="10">
        <f>SUMIF(Material!$E:$E,TRIM(A96),Material!$F:$F)</f>
        <v>0</v>
      </c>
      <c r="E96" s="10">
        <f t="shared" si="17"/>
        <v>0</v>
      </c>
      <c r="F96" s="10">
        <f t="shared" si="18"/>
        <v>21000</v>
      </c>
      <c r="G96" s="10">
        <f t="shared" si="19"/>
        <v>0</v>
      </c>
      <c r="H96" s="10">
        <f t="shared" si="20"/>
        <v>0</v>
      </c>
    </row>
    <row r="97" spans="1:8" ht="18" customHeight="1" x14ac:dyDescent="0.3">
      <c r="A97" s="6" t="s">
        <v>34</v>
      </c>
      <c r="B97" s="7">
        <f>SUM(B91:B96)</f>
        <v>72763.750499999995</v>
      </c>
      <c r="C97" s="7">
        <f t="shared" ref="C97:H97" si="21">SUM(C91:C96)</f>
        <v>0</v>
      </c>
      <c r="D97" s="7">
        <f t="shared" si="21"/>
        <v>14171.96</v>
      </c>
      <c r="E97" s="7">
        <f t="shared" si="21"/>
        <v>14171.96</v>
      </c>
      <c r="F97" s="7">
        <f t="shared" si="21"/>
        <v>58591.790500000003</v>
      </c>
      <c r="G97" s="7">
        <f t="shared" si="21"/>
        <v>0</v>
      </c>
      <c r="H97" s="7">
        <f t="shared" si="21"/>
        <v>0</v>
      </c>
    </row>
    <row r="98" spans="1:8" ht="14.25" customHeight="1" x14ac:dyDescent="0.3">
      <c r="B98" s="8"/>
      <c r="C98" s="8"/>
      <c r="D98" s="8"/>
      <c r="E98" s="8"/>
      <c r="F98" s="8"/>
      <c r="G98" s="8"/>
      <c r="H98" s="8"/>
    </row>
    <row r="99" spans="1:8" ht="18" customHeight="1" x14ac:dyDescent="0.3">
      <c r="A99" s="35" t="s">
        <v>35</v>
      </c>
      <c r="B99" s="36"/>
      <c r="C99" s="37"/>
      <c r="D99" s="37"/>
      <c r="E99" s="36"/>
      <c r="F99" s="36"/>
      <c r="G99" s="36"/>
      <c r="H99" s="37"/>
    </row>
    <row r="100" spans="1:8" ht="18" customHeight="1" x14ac:dyDescent="0.3">
      <c r="A100" s="2" t="s">
        <v>119</v>
      </c>
      <c r="B100" s="5">
        <v>15750</v>
      </c>
      <c r="C100" s="5"/>
      <c r="D100" s="5">
        <f>SUMIF(Material!$E:$E,TRIM(A100),Material!$F:$F)</f>
        <v>0</v>
      </c>
      <c r="E100" s="5">
        <f>SUM(C100:D100)</f>
        <v>0</v>
      </c>
      <c r="F100" s="5">
        <f>IF(AND(B100&gt;0,B100&gt;E100),B100-E100,0)</f>
        <v>15750</v>
      </c>
      <c r="G100" s="5">
        <f>IF(AND(B100&gt;0,B100&lt;E100),B100-E100,0)</f>
        <v>0</v>
      </c>
      <c r="H100" s="5">
        <f>IF(AND(B100=0,B100&lt;E100),E100-B100,0)</f>
        <v>0</v>
      </c>
    </row>
    <row r="101" spans="1:8" ht="18" customHeight="1" x14ac:dyDescent="0.3">
      <c r="A101" s="6" t="s">
        <v>36</v>
      </c>
      <c r="B101" s="7">
        <f>SUM(B100:B100)</f>
        <v>15750</v>
      </c>
      <c r="C101" s="7">
        <f t="shared" ref="C101:H101" si="22">SUM(C100:C100)</f>
        <v>0</v>
      </c>
      <c r="D101" s="7">
        <f t="shared" si="22"/>
        <v>0</v>
      </c>
      <c r="E101" s="7">
        <f t="shared" si="22"/>
        <v>0</v>
      </c>
      <c r="F101" s="7">
        <f t="shared" si="22"/>
        <v>15750</v>
      </c>
      <c r="G101" s="7">
        <f t="shared" si="22"/>
        <v>0</v>
      </c>
      <c r="H101" s="7">
        <f t="shared" si="22"/>
        <v>0</v>
      </c>
    </row>
    <row r="102" spans="1:8" ht="14.25" customHeight="1" x14ac:dyDescent="0.3">
      <c r="B102" s="8"/>
      <c r="C102" s="8"/>
      <c r="D102" s="8"/>
      <c r="E102" s="8"/>
      <c r="F102" s="8"/>
      <c r="G102" s="8"/>
      <c r="H102" s="8"/>
    </row>
    <row r="103" spans="1:8" ht="18" customHeight="1" x14ac:dyDescent="0.3">
      <c r="A103" s="35" t="s">
        <v>37</v>
      </c>
      <c r="B103" s="36"/>
      <c r="C103" s="37"/>
      <c r="D103" s="37"/>
      <c r="E103" s="36"/>
      <c r="F103" s="36"/>
      <c r="G103" s="36"/>
      <c r="H103" s="37"/>
    </row>
    <row r="104" spans="1:8" ht="18" customHeight="1" x14ac:dyDescent="0.3">
      <c r="A104" s="2" t="s">
        <v>120</v>
      </c>
      <c r="B104" s="5">
        <v>52500</v>
      </c>
      <c r="C104" s="5"/>
      <c r="D104" s="5">
        <f>SUMIF(Material!$E:$E,TRIM(A104),Material!$F:$F)</f>
        <v>0</v>
      </c>
      <c r="E104" s="5">
        <f>SUM(C104:D104)</f>
        <v>0</v>
      </c>
      <c r="F104" s="5">
        <f>IF(AND(B104&gt;0,B104&gt;E104),B104-E104,0)</f>
        <v>52500</v>
      </c>
      <c r="G104" s="5">
        <f>IF(AND(B104&gt;0,B104&lt;E104),B104-E104,0)</f>
        <v>0</v>
      </c>
      <c r="H104" s="5">
        <f>IF(AND(B104=0,B104&lt;E104),E104-B104,0)</f>
        <v>0</v>
      </c>
    </row>
    <row r="105" spans="1:8" ht="18" customHeight="1" x14ac:dyDescent="0.3">
      <c r="A105" s="9" t="s">
        <v>121</v>
      </c>
      <c r="B105" s="10">
        <v>22974</v>
      </c>
      <c r="C105" s="10"/>
      <c r="D105" s="10">
        <f>SUMIF(Material!$E:$E,TRIM(A105),Material!$F:$F)</f>
        <v>0</v>
      </c>
      <c r="E105" s="10">
        <f>SUM(C105:D105)</f>
        <v>0</v>
      </c>
      <c r="F105" s="10">
        <f>IF(AND(B105&gt;0,B105&gt;E105),B105-E105,0)</f>
        <v>22974</v>
      </c>
      <c r="G105" s="10">
        <f>IF(AND(B105&gt;0,B105&lt;E105),B105-E105,0)</f>
        <v>0</v>
      </c>
      <c r="H105" s="10">
        <f>IF(AND(B105=0,B105&lt;E105),E105-B105,0)</f>
        <v>0</v>
      </c>
    </row>
    <row r="106" spans="1:8" ht="18" customHeight="1" x14ac:dyDescent="0.3">
      <c r="A106" s="6" t="s">
        <v>38</v>
      </c>
      <c r="B106" s="7">
        <f>SUM(B104:B105)</f>
        <v>75474</v>
      </c>
      <c r="C106" s="7">
        <f t="shared" ref="C106:H106" si="23">SUM(C104:C105)</f>
        <v>0</v>
      </c>
      <c r="D106" s="7">
        <f t="shared" si="23"/>
        <v>0</v>
      </c>
      <c r="E106" s="7">
        <f t="shared" si="23"/>
        <v>0</v>
      </c>
      <c r="F106" s="7">
        <f t="shared" si="23"/>
        <v>75474</v>
      </c>
      <c r="G106" s="7">
        <f t="shared" si="23"/>
        <v>0</v>
      </c>
      <c r="H106" s="7">
        <f t="shared" si="23"/>
        <v>0</v>
      </c>
    </row>
    <row r="107" spans="1:8" ht="14.25" customHeight="1" x14ac:dyDescent="0.3">
      <c r="B107" s="8"/>
      <c r="C107" s="8"/>
      <c r="D107" s="8"/>
      <c r="E107" s="8"/>
      <c r="F107" s="8"/>
      <c r="G107" s="8"/>
      <c r="H107" s="8"/>
    </row>
    <row r="108" spans="1:8" ht="18" customHeight="1" x14ac:dyDescent="0.3">
      <c r="A108" s="35" t="s">
        <v>39</v>
      </c>
      <c r="B108" s="36"/>
      <c r="C108" s="37"/>
      <c r="D108" s="37"/>
      <c r="E108" s="36"/>
      <c r="F108" s="36"/>
      <c r="G108" s="36"/>
      <c r="H108" s="37"/>
    </row>
    <row r="109" spans="1:8" ht="18" customHeight="1" x14ac:dyDescent="0.3">
      <c r="A109" s="2" t="s">
        <v>123</v>
      </c>
      <c r="B109" s="5">
        <v>4200</v>
      </c>
      <c r="C109" s="5"/>
      <c r="D109" s="5">
        <f>SUMIF(Material!$E:$E,TRIM(A109),Material!$F:$F)</f>
        <v>0</v>
      </c>
      <c r="E109" s="5">
        <f t="shared" ref="E109:E114" si="24">SUM(C109:D109)</f>
        <v>0</v>
      </c>
      <c r="F109" s="5">
        <f t="shared" ref="F109:F114" si="25">IF(AND(B109&gt;0,B109&gt;E109),B109-E109,0)</f>
        <v>4200</v>
      </c>
      <c r="G109" s="5">
        <f t="shared" ref="G109:G114" si="26">IF(AND(B109&gt;0,B109&lt;E109),B109-E109,0)</f>
        <v>0</v>
      </c>
      <c r="H109" s="5">
        <f t="shared" ref="H109:H114" si="27">IF(AND(B109=0,B109&lt;E109),E109-B109,0)</f>
        <v>0</v>
      </c>
    </row>
    <row r="110" spans="1:8" ht="18" customHeight="1" x14ac:dyDescent="0.3">
      <c r="A110" s="9" t="s">
        <v>124</v>
      </c>
      <c r="B110" s="10">
        <v>4488.8760000000002</v>
      </c>
      <c r="C110" s="10"/>
      <c r="D110" s="10">
        <f>SUMIF(Material!$E:$E,TRIM(A110),Material!$F:$F)</f>
        <v>0</v>
      </c>
      <c r="E110" s="10">
        <f t="shared" si="24"/>
        <v>0</v>
      </c>
      <c r="F110" s="10">
        <f t="shared" si="25"/>
        <v>4488.8760000000002</v>
      </c>
      <c r="G110" s="10">
        <f t="shared" si="26"/>
        <v>0</v>
      </c>
      <c r="H110" s="10">
        <f t="shared" si="27"/>
        <v>0</v>
      </c>
    </row>
    <row r="111" spans="1:8" ht="18" customHeight="1" x14ac:dyDescent="0.3">
      <c r="A111" s="2" t="s">
        <v>125</v>
      </c>
      <c r="B111" s="5">
        <v>5250</v>
      </c>
      <c r="C111" s="5"/>
      <c r="D111" s="5">
        <f>SUMIF(Material!$E:$E,TRIM(A111),Material!$F:$F)</f>
        <v>0</v>
      </c>
      <c r="E111" s="5">
        <f t="shared" si="24"/>
        <v>0</v>
      </c>
      <c r="F111" s="5">
        <f t="shared" si="25"/>
        <v>5250</v>
      </c>
      <c r="G111" s="5">
        <f t="shared" si="26"/>
        <v>0</v>
      </c>
      <c r="H111" s="5">
        <f t="shared" si="27"/>
        <v>0</v>
      </c>
    </row>
    <row r="112" spans="1:8" ht="18" customHeight="1" x14ac:dyDescent="0.3">
      <c r="A112" s="9" t="s">
        <v>126</v>
      </c>
      <c r="B112" s="10">
        <v>1050</v>
      </c>
      <c r="C112" s="10"/>
      <c r="D112" s="10">
        <f>SUMIF(Material!$E:$E,TRIM(A112),Material!$F:$F)</f>
        <v>0</v>
      </c>
      <c r="E112" s="10">
        <f t="shared" si="24"/>
        <v>0</v>
      </c>
      <c r="F112" s="10">
        <f t="shared" si="25"/>
        <v>1050</v>
      </c>
      <c r="G112" s="10">
        <f t="shared" si="26"/>
        <v>0</v>
      </c>
      <c r="H112" s="10">
        <f t="shared" si="27"/>
        <v>0</v>
      </c>
    </row>
    <row r="113" spans="1:8" ht="18" customHeight="1" x14ac:dyDescent="0.3">
      <c r="A113" s="2" t="s">
        <v>127</v>
      </c>
      <c r="B113" s="5">
        <v>4200</v>
      </c>
      <c r="C113" s="5"/>
      <c r="D113" s="5">
        <f>SUMIF(Material!$E:$E,TRIM(A113),Material!$F:$F)</f>
        <v>0</v>
      </c>
      <c r="E113" s="5">
        <f t="shared" si="24"/>
        <v>0</v>
      </c>
      <c r="F113" s="5">
        <f t="shared" si="25"/>
        <v>4200</v>
      </c>
      <c r="G113" s="5">
        <f t="shared" si="26"/>
        <v>0</v>
      </c>
      <c r="H113" s="5">
        <f t="shared" si="27"/>
        <v>0</v>
      </c>
    </row>
    <row r="114" spans="1:8" ht="18" customHeight="1" x14ac:dyDescent="0.3">
      <c r="A114" s="9" t="s">
        <v>128</v>
      </c>
      <c r="B114" s="10">
        <v>1050</v>
      </c>
      <c r="C114" s="10"/>
      <c r="D114" s="10">
        <f>SUMIF(Material!$E:$E,TRIM(A114),Material!$F:$F)</f>
        <v>0</v>
      </c>
      <c r="E114" s="10">
        <f t="shared" si="24"/>
        <v>0</v>
      </c>
      <c r="F114" s="10">
        <f t="shared" si="25"/>
        <v>1050</v>
      </c>
      <c r="G114" s="10">
        <f t="shared" si="26"/>
        <v>0</v>
      </c>
      <c r="H114" s="10">
        <f t="shared" si="27"/>
        <v>0</v>
      </c>
    </row>
    <row r="115" spans="1:8" ht="18" customHeight="1" x14ac:dyDescent="0.3">
      <c r="A115" s="6" t="s">
        <v>40</v>
      </c>
      <c r="B115" s="7">
        <f>SUM(B109:B114)</f>
        <v>20238.876</v>
      </c>
      <c r="C115" s="7">
        <f t="shared" ref="C115:H115" si="28">SUM(C109:C114)</f>
        <v>0</v>
      </c>
      <c r="D115" s="7">
        <f t="shared" si="28"/>
        <v>0</v>
      </c>
      <c r="E115" s="7">
        <f t="shared" si="28"/>
        <v>0</v>
      </c>
      <c r="F115" s="7">
        <f t="shared" si="28"/>
        <v>20238.876</v>
      </c>
      <c r="G115" s="7">
        <f t="shared" si="28"/>
        <v>0</v>
      </c>
      <c r="H115" s="7">
        <f t="shared" si="28"/>
        <v>0</v>
      </c>
    </row>
    <row r="116" spans="1:8" ht="14.25" customHeight="1" x14ac:dyDescent="0.3">
      <c r="B116" s="8"/>
      <c r="C116" s="8"/>
      <c r="D116" s="8"/>
      <c r="E116" s="8"/>
      <c r="F116" s="8"/>
      <c r="G116" s="8"/>
      <c r="H116" s="8"/>
    </row>
    <row r="117" spans="1:8" ht="18" customHeight="1" x14ac:dyDescent="0.3">
      <c r="A117" s="35" t="s">
        <v>41</v>
      </c>
      <c r="B117" s="36"/>
      <c r="C117" s="37"/>
      <c r="D117" s="37"/>
      <c r="E117" s="36"/>
      <c r="F117" s="36"/>
      <c r="G117" s="36"/>
      <c r="H117" s="37"/>
    </row>
    <row r="118" spans="1:8" ht="18" customHeight="1" x14ac:dyDescent="0.3">
      <c r="A118" s="2" t="s">
        <v>129</v>
      </c>
      <c r="B118" s="5">
        <v>12505.5</v>
      </c>
      <c r="C118" s="5"/>
      <c r="D118" s="5">
        <f>SUMIF(Material!$E:$E,TRIM(A118),Material!$F:$F)</f>
        <v>0</v>
      </c>
      <c r="E118" s="5">
        <f>SUM(C118:D118)</f>
        <v>0</v>
      </c>
      <c r="F118" s="5">
        <f>IF(AND(B118&gt;0,B118&gt;E118),B118-E118,0)</f>
        <v>12505.5</v>
      </c>
      <c r="G118" s="5">
        <f>IF(AND(B118&gt;0,B118&lt;E118),B118-E118,0)</f>
        <v>0</v>
      </c>
      <c r="H118" s="5">
        <f>IF(AND(B118=0,B118&lt;E118),E118-B118,0)</f>
        <v>0</v>
      </c>
    </row>
    <row r="119" spans="1:8" ht="18" customHeight="1" x14ac:dyDescent="0.3">
      <c r="A119" s="9" t="s">
        <v>130</v>
      </c>
      <c r="B119" s="10">
        <v>12505.5</v>
      </c>
      <c r="C119" s="10"/>
      <c r="D119" s="10">
        <f>SUMIF(Material!$E:$E,TRIM(A119),Material!$F:$F)</f>
        <v>0</v>
      </c>
      <c r="E119" s="10">
        <f>SUM(C119:D119)</f>
        <v>0</v>
      </c>
      <c r="F119" s="10">
        <f>IF(AND(B119&gt;0,B119&gt;E119),B119-E119,0)</f>
        <v>12505.5</v>
      </c>
      <c r="G119" s="10">
        <f>IF(AND(B119&gt;0,B119&lt;E119),B119-E119,0)</f>
        <v>0</v>
      </c>
      <c r="H119" s="10">
        <f>IF(AND(B119=0,B119&lt;E119),E119-B119,0)</f>
        <v>0</v>
      </c>
    </row>
    <row r="120" spans="1:8" ht="18" customHeight="1" x14ac:dyDescent="0.3">
      <c r="A120" s="2" t="s">
        <v>131</v>
      </c>
      <c r="B120" s="5">
        <v>3150</v>
      </c>
      <c r="C120" s="5"/>
      <c r="D120" s="5">
        <f>SUMIF(Material!$E:$E,TRIM(A120),Material!$F:$F)</f>
        <v>0</v>
      </c>
      <c r="E120" s="5">
        <f>SUM(C120:D120)</f>
        <v>0</v>
      </c>
      <c r="F120" s="5">
        <f>IF(AND(B120&gt;0,B120&gt;E120),B120-E120,0)</f>
        <v>3150</v>
      </c>
      <c r="G120" s="5">
        <f>IF(AND(B120&gt;0,B120&lt;E120),B120-E120,0)</f>
        <v>0</v>
      </c>
      <c r="H120" s="5">
        <f>IF(AND(B120=0,B120&lt;E120),E120-B120,0)</f>
        <v>0</v>
      </c>
    </row>
    <row r="121" spans="1:8" ht="18" customHeight="1" x14ac:dyDescent="0.3">
      <c r="A121" s="9" t="s">
        <v>132</v>
      </c>
      <c r="B121" s="10">
        <v>15750</v>
      </c>
      <c r="C121" s="10"/>
      <c r="D121" s="10">
        <f>SUMIF(Material!$E:$E,TRIM(A121),Material!$F:$F)</f>
        <v>0</v>
      </c>
      <c r="E121" s="10">
        <f>SUM(C121:D121)</f>
        <v>0</v>
      </c>
      <c r="F121" s="10">
        <f>IF(AND(B121&gt;0,B121&gt;E121),B121-E121,0)</f>
        <v>15750</v>
      </c>
      <c r="G121" s="10">
        <f>IF(AND(B121&gt;0,B121&lt;E121),B121-E121,0)</f>
        <v>0</v>
      </c>
      <c r="H121" s="10">
        <f>IF(AND(B121=0,B121&lt;E121),E121-B121,0)</f>
        <v>0</v>
      </c>
    </row>
    <row r="122" spans="1:8" ht="18" customHeight="1" x14ac:dyDescent="0.3">
      <c r="A122" s="2" t="s">
        <v>133</v>
      </c>
      <c r="B122" s="5">
        <v>840</v>
      </c>
      <c r="C122" s="5"/>
      <c r="D122" s="5">
        <f>SUMIF(Material!$E:$E,TRIM(A122),Material!$F:$F)</f>
        <v>0</v>
      </c>
      <c r="E122" s="5">
        <f>SUM(C122:D122)</f>
        <v>0</v>
      </c>
      <c r="F122" s="5">
        <f>IF(AND(B122&gt;0,B122&gt;E122),B122-E122,0)</f>
        <v>840</v>
      </c>
      <c r="G122" s="5">
        <f>IF(AND(B122&gt;0,B122&lt;E122),B122-E122,0)</f>
        <v>0</v>
      </c>
      <c r="H122" s="5">
        <f>IF(AND(B122=0,B122&lt;E122),E122-B122,0)</f>
        <v>0</v>
      </c>
    </row>
    <row r="123" spans="1:8" ht="18" customHeight="1" x14ac:dyDescent="0.3">
      <c r="A123" s="6" t="s">
        <v>42</v>
      </c>
      <c r="B123" s="7">
        <f>SUM(B118:B122)</f>
        <v>44751</v>
      </c>
      <c r="C123" s="7">
        <f t="shared" ref="C123:H123" si="29">SUM(C118:C122)</f>
        <v>0</v>
      </c>
      <c r="D123" s="7">
        <f t="shared" si="29"/>
        <v>0</v>
      </c>
      <c r="E123" s="7">
        <f t="shared" si="29"/>
        <v>0</v>
      </c>
      <c r="F123" s="7">
        <f t="shared" si="29"/>
        <v>44751</v>
      </c>
      <c r="G123" s="7">
        <f t="shared" si="29"/>
        <v>0</v>
      </c>
      <c r="H123" s="7">
        <f t="shared" si="29"/>
        <v>0</v>
      </c>
    </row>
    <row r="124" spans="1:8" ht="14.25" customHeight="1" x14ac:dyDescent="0.3">
      <c r="B124" s="8"/>
      <c r="C124" s="8"/>
      <c r="D124" s="8"/>
      <c r="E124" s="8"/>
      <c r="F124" s="8"/>
      <c r="G124" s="8"/>
      <c r="H124" s="8"/>
    </row>
    <row r="125" spans="1:8" ht="18" customHeight="1" x14ac:dyDescent="0.3">
      <c r="A125" s="35" t="s">
        <v>43</v>
      </c>
      <c r="B125" s="36"/>
      <c r="C125" s="37"/>
      <c r="D125" s="37"/>
      <c r="E125" s="36"/>
      <c r="F125" s="36"/>
      <c r="G125" s="36"/>
      <c r="H125" s="37"/>
    </row>
    <row r="126" spans="1:8" ht="18" customHeight="1" x14ac:dyDescent="0.3">
      <c r="A126" s="2" t="s">
        <v>134</v>
      </c>
      <c r="B126" s="5">
        <v>3640.14</v>
      </c>
      <c r="C126" s="5"/>
      <c r="D126" s="5">
        <f>SUMIF(Material!$E:$E,TRIM(A126),Material!$F:$F)</f>
        <v>0</v>
      </c>
      <c r="E126" s="5">
        <f t="shared" ref="E126:E137" si="30">SUM(C126:D126)</f>
        <v>0</v>
      </c>
      <c r="F126" s="5">
        <f t="shared" ref="F126:F137" si="31">IF(AND(B126&gt;0,B126&gt;E126),B126-E126,0)</f>
        <v>3640.14</v>
      </c>
      <c r="G126" s="5">
        <f t="shared" ref="G126:G137" si="32">IF(AND(B126&gt;0,B126&lt;E126),B126-E126,0)</f>
        <v>0</v>
      </c>
      <c r="H126" s="5">
        <f t="shared" ref="H126:H137" si="33">IF(AND(B126=0,B126&lt;E126),E126-B126,0)</f>
        <v>0</v>
      </c>
    </row>
    <row r="127" spans="1:8" ht="18" customHeight="1" x14ac:dyDescent="0.3">
      <c r="A127" s="9" t="s">
        <v>135</v>
      </c>
      <c r="B127" s="10">
        <v>4536</v>
      </c>
      <c r="C127" s="10"/>
      <c r="D127" s="10">
        <f>SUMIF(Material!$E:$E,TRIM(A127),Material!$F:$F)</f>
        <v>0</v>
      </c>
      <c r="E127" s="10">
        <f t="shared" si="30"/>
        <v>0</v>
      </c>
      <c r="F127" s="10">
        <f t="shared" si="31"/>
        <v>4536</v>
      </c>
      <c r="G127" s="10">
        <f t="shared" si="32"/>
        <v>0</v>
      </c>
      <c r="H127" s="10">
        <f t="shared" si="33"/>
        <v>0</v>
      </c>
    </row>
    <row r="128" spans="1:8" ht="18" customHeight="1" x14ac:dyDescent="0.3">
      <c r="A128" s="2" t="s">
        <v>136</v>
      </c>
      <c r="B128" s="5">
        <v>1568.7</v>
      </c>
      <c r="C128" s="5"/>
      <c r="D128" s="5">
        <f>SUMIF(Material!$E:$E,TRIM(A128),Material!$F:$F)</f>
        <v>0</v>
      </c>
      <c r="E128" s="5">
        <f t="shared" si="30"/>
        <v>0</v>
      </c>
      <c r="F128" s="5">
        <f t="shared" si="31"/>
        <v>1568.7</v>
      </c>
      <c r="G128" s="5">
        <f t="shared" si="32"/>
        <v>0</v>
      </c>
      <c r="H128" s="5">
        <f t="shared" si="33"/>
        <v>0</v>
      </c>
    </row>
    <row r="129" spans="1:8" ht="18" customHeight="1" x14ac:dyDescent="0.3">
      <c r="A129" s="9" t="s">
        <v>137</v>
      </c>
      <c r="B129" s="10">
        <v>3357.018</v>
      </c>
      <c r="C129" s="10"/>
      <c r="D129" s="10">
        <f>SUMIF(Material!$E:$E,TRIM(A129),Material!$F:$F)</f>
        <v>0</v>
      </c>
      <c r="E129" s="10">
        <f t="shared" si="30"/>
        <v>0</v>
      </c>
      <c r="F129" s="10">
        <f t="shared" si="31"/>
        <v>3357.018</v>
      </c>
      <c r="G129" s="10">
        <f t="shared" si="32"/>
        <v>0</v>
      </c>
      <c r="H129" s="10">
        <f t="shared" si="33"/>
        <v>0</v>
      </c>
    </row>
    <row r="130" spans="1:8" ht="18" customHeight="1" x14ac:dyDescent="0.3">
      <c r="A130" s="2" t="s">
        <v>138</v>
      </c>
      <c r="B130" s="5">
        <v>6274.8</v>
      </c>
      <c r="C130" s="5"/>
      <c r="D130" s="5">
        <f>SUMIF(Material!$E:$E,TRIM(A130),Material!$F:$F)</f>
        <v>0</v>
      </c>
      <c r="E130" s="5">
        <f t="shared" si="30"/>
        <v>0</v>
      </c>
      <c r="F130" s="5">
        <f t="shared" si="31"/>
        <v>6274.8</v>
      </c>
      <c r="G130" s="5">
        <f t="shared" si="32"/>
        <v>0</v>
      </c>
      <c r="H130" s="5">
        <f t="shared" si="33"/>
        <v>0</v>
      </c>
    </row>
    <row r="131" spans="1:8" ht="18" customHeight="1" x14ac:dyDescent="0.3">
      <c r="A131" s="9" t="s">
        <v>139</v>
      </c>
      <c r="B131" s="10">
        <v>1348.2</v>
      </c>
      <c r="C131" s="10"/>
      <c r="D131" s="10">
        <f>SUMIF(Material!$E:$E,TRIM(A131),Material!$F:$F)</f>
        <v>0</v>
      </c>
      <c r="E131" s="10">
        <f t="shared" si="30"/>
        <v>0</v>
      </c>
      <c r="F131" s="10">
        <f t="shared" si="31"/>
        <v>1348.2</v>
      </c>
      <c r="G131" s="10">
        <f t="shared" si="32"/>
        <v>0</v>
      </c>
      <c r="H131" s="10">
        <f t="shared" si="33"/>
        <v>0</v>
      </c>
    </row>
    <row r="132" spans="1:8" ht="18" customHeight="1" x14ac:dyDescent="0.3">
      <c r="A132" s="2" t="s">
        <v>140</v>
      </c>
      <c r="B132" s="5">
        <v>840</v>
      </c>
      <c r="C132" s="5"/>
      <c r="D132" s="5">
        <f>SUMIF(Material!$E:$E,TRIM(A132),Material!$F:$F)</f>
        <v>0</v>
      </c>
      <c r="E132" s="5">
        <f t="shared" si="30"/>
        <v>0</v>
      </c>
      <c r="F132" s="5">
        <f t="shared" si="31"/>
        <v>840</v>
      </c>
      <c r="G132" s="5">
        <f t="shared" si="32"/>
        <v>0</v>
      </c>
      <c r="H132" s="5">
        <f t="shared" si="33"/>
        <v>0</v>
      </c>
    </row>
    <row r="133" spans="1:8" ht="18" customHeight="1" x14ac:dyDescent="0.3">
      <c r="A133" s="9" t="s">
        <v>141</v>
      </c>
      <c r="B133" s="10">
        <v>2604</v>
      </c>
      <c r="C133" s="10"/>
      <c r="D133" s="10">
        <f>SUMIF(Material!$E:$E,TRIM(A133),Material!$F:$F)</f>
        <v>0</v>
      </c>
      <c r="E133" s="10">
        <f t="shared" si="30"/>
        <v>0</v>
      </c>
      <c r="F133" s="10">
        <f t="shared" si="31"/>
        <v>2604</v>
      </c>
      <c r="G133" s="10">
        <f t="shared" si="32"/>
        <v>0</v>
      </c>
      <c r="H133" s="10">
        <f t="shared" si="33"/>
        <v>0</v>
      </c>
    </row>
    <row r="134" spans="1:8" ht="18" customHeight="1" x14ac:dyDescent="0.3">
      <c r="A134" s="2" t="s">
        <v>142</v>
      </c>
      <c r="B134" s="5">
        <v>640.94100000000003</v>
      </c>
      <c r="C134" s="5"/>
      <c r="D134" s="5">
        <f>SUMIF(Material!$E:$E,TRIM(A134),Material!$F:$F)</f>
        <v>0</v>
      </c>
      <c r="E134" s="5">
        <f t="shared" si="30"/>
        <v>0</v>
      </c>
      <c r="F134" s="5">
        <f t="shared" si="31"/>
        <v>640.94100000000003</v>
      </c>
      <c r="G134" s="5">
        <f t="shared" si="32"/>
        <v>0</v>
      </c>
      <c r="H134" s="5">
        <f t="shared" si="33"/>
        <v>0</v>
      </c>
    </row>
    <row r="135" spans="1:8" ht="18" customHeight="1" x14ac:dyDescent="0.3">
      <c r="A135" s="9" t="s">
        <v>143</v>
      </c>
      <c r="B135" s="10">
        <v>1106.616</v>
      </c>
      <c r="C135" s="10"/>
      <c r="D135" s="10">
        <f>SUMIF(Material!$E:$E,TRIM(A135),Material!$F:$F)</f>
        <v>0</v>
      </c>
      <c r="E135" s="10">
        <f t="shared" si="30"/>
        <v>0</v>
      </c>
      <c r="F135" s="10">
        <f t="shared" si="31"/>
        <v>1106.616</v>
      </c>
      <c r="G135" s="10">
        <f t="shared" si="32"/>
        <v>0</v>
      </c>
      <c r="H135" s="10">
        <f t="shared" si="33"/>
        <v>0</v>
      </c>
    </row>
    <row r="136" spans="1:8" ht="18" customHeight="1" x14ac:dyDescent="0.3">
      <c r="A136" s="2" t="s">
        <v>144</v>
      </c>
      <c r="B136" s="5">
        <v>3465</v>
      </c>
      <c r="C136" s="5"/>
      <c r="D136" s="5">
        <f>SUMIF(Material!$E:$E,TRIM(A136),Material!$F:$F)</f>
        <v>0</v>
      </c>
      <c r="E136" s="5">
        <f t="shared" si="30"/>
        <v>0</v>
      </c>
      <c r="F136" s="5">
        <f t="shared" si="31"/>
        <v>3465</v>
      </c>
      <c r="G136" s="5">
        <f t="shared" si="32"/>
        <v>0</v>
      </c>
      <c r="H136" s="5">
        <f t="shared" si="33"/>
        <v>0</v>
      </c>
    </row>
    <row r="137" spans="1:8" ht="18" customHeight="1" x14ac:dyDescent="0.3">
      <c r="A137" s="9" t="s">
        <v>145</v>
      </c>
      <c r="B137" s="10">
        <v>157.5</v>
      </c>
      <c r="C137" s="10"/>
      <c r="D137" s="10">
        <f>SUMIF(Material!$E:$E,TRIM(A137),Material!$F:$F)</f>
        <v>0</v>
      </c>
      <c r="E137" s="10">
        <f t="shared" si="30"/>
        <v>0</v>
      </c>
      <c r="F137" s="10">
        <f t="shared" si="31"/>
        <v>157.5</v>
      </c>
      <c r="G137" s="10">
        <f t="shared" si="32"/>
        <v>0</v>
      </c>
      <c r="H137" s="10">
        <f t="shared" si="33"/>
        <v>0</v>
      </c>
    </row>
    <row r="138" spans="1:8" ht="18" customHeight="1" x14ac:dyDescent="0.3">
      <c r="A138" s="6" t="s">
        <v>44</v>
      </c>
      <c r="B138" s="7">
        <f>SUM(B126:B137)</f>
        <v>29538.915000000001</v>
      </c>
      <c r="C138" s="7">
        <f t="shared" ref="C138:H138" si="34">SUM(C126:C137)</f>
        <v>0</v>
      </c>
      <c r="D138" s="7">
        <f t="shared" si="34"/>
        <v>0</v>
      </c>
      <c r="E138" s="7">
        <f t="shared" si="34"/>
        <v>0</v>
      </c>
      <c r="F138" s="7">
        <f t="shared" si="34"/>
        <v>29538.915000000001</v>
      </c>
      <c r="G138" s="7">
        <f t="shared" si="34"/>
        <v>0</v>
      </c>
      <c r="H138" s="7">
        <f t="shared" si="34"/>
        <v>0</v>
      </c>
    </row>
    <row r="139" spans="1:8" ht="14.25" customHeight="1" x14ac:dyDescent="0.3">
      <c r="B139" s="8"/>
      <c r="C139" s="8"/>
      <c r="D139" s="8"/>
      <c r="E139" s="8"/>
      <c r="F139" s="8"/>
      <c r="G139" s="8"/>
      <c r="H139" s="8"/>
    </row>
    <row r="140" spans="1:8" ht="18" customHeight="1" x14ac:dyDescent="0.3">
      <c r="A140" s="35" t="s">
        <v>45</v>
      </c>
      <c r="B140" s="36"/>
      <c r="C140" s="37"/>
      <c r="D140" s="37"/>
      <c r="E140" s="36"/>
      <c r="F140" s="36"/>
      <c r="G140" s="36"/>
      <c r="H140" s="37"/>
    </row>
    <row r="141" spans="1:8" ht="18" customHeight="1" x14ac:dyDescent="0.3">
      <c r="A141" s="2" t="s">
        <v>146</v>
      </c>
      <c r="B141" s="5">
        <v>36750</v>
      </c>
      <c r="C141" s="5"/>
      <c r="D141" s="5">
        <f>SUMIF(Material!$E:$E,TRIM(A141),Material!$F:$F)</f>
        <v>42.09</v>
      </c>
      <c r="E141" s="5">
        <f>SUM(C141:D141)</f>
        <v>42.09</v>
      </c>
      <c r="F141" s="5">
        <f>IF(AND(B141&gt;0,B141&gt;E141),B141-E141,0)</f>
        <v>36707.910000000003</v>
      </c>
      <c r="G141" s="5">
        <f>IF(AND(B141&gt;0,B141&lt;E141),B141-E141,0)</f>
        <v>0</v>
      </c>
      <c r="H141" s="5">
        <f>IF(AND(B141=0,B141&lt;E141),E141-B141,0)</f>
        <v>0</v>
      </c>
    </row>
    <row r="142" spans="1:8" ht="18" customHeight="1" x14ac:dyDescent="0.3">
      <c r="A142" s="6" t="s">
        <v>46</v>
      </c>
      <c r="B142" s="7">
        <f>SUM(B141:B141)</f>
        <v>36750</v>
      </c>
      <c r="C142" s="7">
        <f t="shared" ref="C142:H142" si="35">SUM(C141:C141)</f>
        <v>0</v>
      </c>
      <c r="D142" s="7">
        <f t="shared" si="35"/>
        <v>42.09</v>
      </c>
      <c r="E142" s="7">
        <f t="shared" si="35"/>
        <v>42.09</v>
      </c>
      <c r="F142" s="7">
        <f t="shared" si="35"/>
        <v>36707.910000000003</v>
      </c>
      <c r="G142" s="7">
        <f t="shared" si="35"/>
        <v>0</v>
      </c>
      <c r="H142" s="7">
        <f t="shared" si="35"/>
        <v>0</v>
      </c>
    </row>
    <row r="143" spans="1:8" ht="14.25" customHeight="1" x14ac:dyDescent="0.3">
      <c r="B143" s="8"/>
      <c r="C143" s="8"/>
      <c r="D143" s="8"/>
      <c r="E143" s="8"/>
      <c r="F143" s="8"/>
      <c r="G143" s="8"/>
      <c r="H143" s="8"/>
    </row>
    <row r="144" spans="1:8" ht="18" customHeight="1" x14ac:dyDescent="0.3">
      <c r="A144" s="35" t="s">
        <v>47</v>
      </c>
      <c r="B144" s="36"/>
      <c r="C144" s="37"/>
      <c r="D144" s="37"/>
      <c r="E144" s="36"/>
      <c r="F144" s="36"/>
      <c r="G144" s="36"/>
      <c r="H144" s="37"/>
    </row>
    <row r="145" spans="1:8" ht="18" customHeight="1" x14ac:dyDescent="0.3">
      <c r="A145" s="2" t="s">
        <v>147</v>
      </c>
      <c r="B145" s="5">
        <v>12600</v>
      </c>
      <c r="C145" s="5"/>
      <c r="D145" s="5">
        <f>SUMIF(Material!$E:$E,TRIM(A145),Material!$F:$F)</f>
        <v>16.12</v>
      </c>
      <c r="E145" s="5">
        <f>SUM(C145:D145)</f>
        <v>16.12</v>
      </c>
      <c r="F145" s="5">
        <f>IF(AND(B145&gt;0,B145&gt;E145),B145-E145,0)</f>
        <v>12583.88</v>
      </c>
      <c r="G145" s="5">
        <f>IF(AND(B145&gt;0,B145&lt;E145),B145-E145,0)</f>
        <v>0</v>
      </c>
      <c r="H145" s="5">
        <f>IF(AND(B145=0,B145&lt;E145),E145-B145,0)</f>
        <v>0</v>
      </c>
    </row>
    <row r="146" spans="1:8" ht="18" customHeight="1" x14ac:dyDescent="0.3">
      <c r="A146" s="9" t="s">
        <v>148</v>
      </c>
      <c r="B146" s="10">
        <v>6300</v>
      </c>
      <c r="C146" s="10"/>
      <c r="D146" s="10">
        <f>SUMIF(Material!$E:$E,TRIM(A146),Material!$F:$F)</f>
        <v>0</v>
      </c>
      <c r="E146" s="10">
        <f>SUM(C146:D146)</f>
        <v>0</v>
      </c>
      <c r="F146" s="10">
        <f>IF(AND(B146&gt;0,B146&gt;E146),B146-E146,0)</f>
        <v>6300</v>
      </c>
      <c r="G146" s="10">
        <f>IF(AND(B146&gt;0,B146&lt;E146),B146-E146,0)</f>
        <v>0</v>
      </c>
      <c r="H146" s="10">
        <f>IF(AND(B146=0,B146&lt;E146),E146-B146,0)</f>
        <v>0</v>
      </c>
    </row>
    <row r="147" spans="1:8" ht="18" customHeight="1" x14ac:dyDescent="0.3">
      <c r="A147" s="2" t="s">
        <v>149</v>
      </c>
      <c r="B147" s="5">
        <v>5250</v>
      </c>
      <c r="C147" s="5"/>
      <c r="D147" s="5">
        <f>SUMIF(Material!$E:$E,TRIM(A147),Material!$F:$F)</f>
        <v>0</v>
      </c>
      <c r="E147" s="5">
        <f>SUM(C147:D147)</f>
        <v>0</v>
      </c>
      <c r="F147" s="5">
        <f>IF(AND(B147&gt;0,B147&gt;E147),B147-E147,0)</f>
        <v>5250</v>
      </c>
      <c r="G147" s="5">
        <f>IF(AND(B147&gt;0,B147&lt;E147),B147-E147,0)</f>
        <v>0</v>
      </c>
      <c r="H147" s="5">
        <f>IF(AND(B147=0,B147&lt;E147),E147-B147,0)</f>
        <v>0</v>
      </c>
    </row>
    <row r="148" spans="1:8" ht="18" customHeight="1" x14ac:dyDescent="0.3">
      <c r="A148" s="9" t="s">
        <v>150</v>
      </c>
      <c r="B148" s="10">
        <v>31500</v>
      </c>
      <c r="C148" s="10"/>
      <c r="D148" s="10">
        <f>SUMIF(Material!$E:$E,TRIM(A148),Material!$F:$F)</f>
        <v>0</v>
      </c>
      <c r="E148" s="10">
        <f>SUM(C148:D148)</f>
        <v>0</v>
      </c>
      <c r="F148" s="10">
        <f>IF(AND(B148&gt;0,B148&gt;E148),B148-E148,0)</f>
        <v>31500</v>
      </c>
      <c r="G148" s="10">
        <f>IF(AND(B148&gt;0,B148&lt;E148),B148-E148,0)</f>
        <v>0</v>
      </c>
      <c r="H148" s="10">
        <f>IF(AND(B148=0,B148&lt;E148),E148-B148,0)</f>
        <v>0</v>
      </c>
    </row>
    <row r="149" spans="1:8" ht="18" customHeight="1" x14ac:dyDescent="0.3">
      <c r="A149" s="6" t="s">
        <v>48</v>
      </c>
      <c r="B149" s="7">
        <f t="shared" ref="B149:H149" si="36">SUM(B145:B148)</f>
        <v>55650</v>
      </c>
      <c r="C149" s="7">
        <f t="shared" si="36"/>
        <v>0</v>
      </c>
      <c r="D149" s="7">
        <f t="shared" si="36"/>
        <v>16.12</v>
      </c>
      <c r="E149" s="7">
        <f t="shared" si="36"/>
        <v>16.12</v>
      </c>
      <c r="F149" s="7">
        <f t="shared" si="36"/>
        <v>55633.88</v>
      </c>
      <c r="G149" s="7">
        <f t="shared" si="36"/>
        <v>0</v>
      </c>
      <c r="H149" s="7">
        <f t="shared" si="36"/>
        <v>0</v>
      </c>
    </row>
    <row r="150" spans="1:8" ht="14.25" customHeight="1" x14ac:dyDescent="0.3">
      <c r="B150" s="8"/>
      <c r="C150" s="8"/>
      <c r="D150" s="8"/>
      <c r="E150" s="8"/>
      <c r="F150" s="8"/>
      <c r="G150" s="8"/>
      <c r="H150" s="8"/>
    </row>
    <row r="151" spans="1:8" ht="18" customHeight="1" x14ac:dyDescent="0.3">
      <c r="A151" s="35" t="s">
        <v>49</v>
      </c>
      <c r="B151" s="36"/>
      <c r="C151" s="37"/>
      <c r="D151" s="37"/>
      <c r="E151" s="36"/>
      <c r="F151" s="36"/>
      <c r="G151" s="36"/>
      <c r="H151" s="37"/>
    </row>
    <row r="152" spans="1:8" ht="18" customHeight="1" x14ac:dyDescent="0.3">
      <c r="A152" s="2" t="s">
        <v>151</v>
      </c>
      <c r="B152" s="5">
        <v>2625</v>
      </c>
      <c r="C152" s="5"/>
      <c r="D152" s="5">
        <f>SUMIF(Material!$E:$E,TRIM(A152),Material!$F:$F)</f>
        <v>3138.6300000000006</v>
      </c>
      <c r="E152" s="5">
        <f>SUM(C152:D152)</f>
        <v>3138.6300000000006</v>
      </c>
      <c r="F152" s="5">
        <f>IF(AND(B152&gt;0,B152&gt;E152),B152-E152,0)</f>
        <v>0</v>
      </c>
      <c r="G152" s="5">
        <f>IF(AND(B152&gt;0,B152&lt;E152),B152-E152,0)</f>
        <v>-513.63000000000056</v>
      </c>
      <c r="H152" s="5">
        <f>IF(AND(B152=0,B152&lt;E152),E152-B152,0)</f>
        <v>0</v>
      </c>
    </row>
    <row r="153" spans="1:8" ht="18" customHeight="1" x14ac:dyDescent="0.3">
      <c r="A153" s="9" t="s">
        <v>152</v>
      </c>
      <c r="B153" s="10">
        <v>2625</v>
      </c>
      <c r="C153" s="10"/>
      <c r="D153" s="10">
        <f>SUMIF(Material!$E:$E,TRIM(A153),Material!$F:$F)</f>
        <v>0</v>
      </c>
      <c r="E153" s="10">
        <f>SUM(C153:D153)</f>
        <v>0</v>
      </c>
      <c r="F153" s="10">
        <f>IF(AND(B153&gt;0,B153&gt;E153),B153-E153,0)</f>
        <v>2625</v>
      </c>
      <c r="G153" s="10">
        <f>IF(AND(B153&gt;0,B153&lt;E153),B153-E153,0)</f>
        <v>0</v>
      </c>
      <c r="H153" s="10">
        <f>IF(AND(B153=0,B153&lt;E153),E153-B153,0)</f>
        <v>0</v>
      </c>
    </row>
    <row r="154" spans="1:8" ht="18" customHeight="1" x14ac:dyDescent="0.3">
      <c r="A154" s="2" t="s">
        <v>153</v>
      </c>
      <c r="B154" s="5">
        <v>2625</v>
      </c>
      <c r="C154" s="5"/>
      <c r="D154" s="5">
        <f>SUMIF(Material!$E:$E,TRIM(A154),Material!$F:$F)</f>
        <v>0</v>
      </c>
      <c r="E154" s="5">
        <f>SUM(C154:D154)</f>
        <v>0</v>
      </c>
      <c r="F154" s="5">
        <f>IF(AND(B154&gt;0,B154&gt;E154),B154-E154,0)</f>
        <v>2625</v>
      </c>
      <c r="G154" s="5">
        <f>IF(AND(B154&gt;0,B154&lt;E154),B154-E154,0)</f>
        <v>0</v>
      </c>
      <c r="H154" s="5">
        <f>IF(AND(B154=0,B154&lt;E154),E154-B154,0)</f>
        <v>0</v>
      </c>
    </row>
    <row r="155" spans="1:8" ht="18" customHeight="1" x14ac:dyDescent="0.3">
      <c r="A155" s="6" t="s">
        <v>50</v>
      </c>
      <c r="B155" s="7">
        <f>SUM(B152:B154)</f>
        <v>7875</v>
      </c>
      <c r="C155" s="7">
        <f t="shared" ref="C155:H155" si="37">SUM(C152:C154)</f>
        <v>0</v>
      </c>
      <c r="D155" s="7">
        <f t="shared" si="37"/>
        <v>3138.6300000000006</v>
      </c>
      <c r="E155" s="7">
        <f t="shared" si="37"/>
        <v>3138.6300000000006</v>
      </c>
      <c r="F155" s="7">
        <f t="shared" si="37"/>
        <v>5250</v>
      </c>
      <c r="G155" s="7">
        <f t="shared" si="37"/>
        <v>-513.63000000000056</v>
      </c>
      <c r="H155" s="7">
        <f t="shared" si="37"/>
        <v>0</v>
      </c>
    </row>
    <row r="156" spans="1:8" ht="14.25" customHeight="1" x14ac:dyDescent="0.3">
      <c r="B156" s="8"/>
      <c r="C156" s="8"/>
      <c r="D156" s="8"/>
      <c r="E156" s="8"/>
      <c r="F156" s="8"/>
      <c r="G156" s="8"/>
      <c r="H156" s="8"/>
    </row>
    <row r="157" spans="1:8" ht="18" customHeight="1" x14ac:dyDescent="0.3">
      <c r="A157" s="35" t="s">
        <v>154</v>
      </c>
      <c r="B157" s="36"/>
      <c r="C157" s="37"/>
      <c r="D157" s="37"/>
      <c r="E157" s="36"/>
      <c r="F157" s="36"/>
      <c r="G157" s="36"/>
      <c r="H157" s="37"/>
    </row>
    <row r="158" spans="1:8" ht="18" customHeight="1" x14ac:dyDescent="0.3">
      <c r="A158" s="2" t="s">
        <v>220</v>
      </c>
      <c r="B158" s="5">
        <v>2136.75</v>
      </c>
      <c r="C158" s="5"/>
      <c r="D158" s="5">
        <f>SUMIF(Material!$E:$E,TRIM(A158),Material!$F:$F)</f>
        <v>668.53</v>
      </c>
      <c r="E158" s="5">
        <f>SUM(C158:D158)</f>
        <v>668.53</v>
      </c>
      <c r="F158" s="5">
        <f>IF(AND(B158&gt;0,B158&gt;E158),B158-E158,0)</f>
        <v>1468.22</v>
      </c>
      <c r="G158" s="5">
        <f>IF(AND(B158&gt;0,B158&lt;E158),B158-E158,0)</f>
        <v>0</v>
      </c>
      <c r="H158" s="5">
        <f>IF(AND(B158=0,B158&lt;E158),E158-B158,0)</f>
        <v>0</v>
      </c>
    </row>
    <row r="159" spans="1:8" ht="18" customHeight="1" x14ac:dyDescent="0.3">
      <c r="A159" s="9" t="s">
        <v>155</v>
      </c>
      <c r="B159" s="10">
        <v>2625</v>
      </c>
      <c r="C159" s="10"/>
      <c r="D159" s="10">
        <f>SUMIF(Material!$E:$E,TRIM(A159),Material!$F:$F)</f>
        <v>2748.73</v>
      </c>
      <c r="E159" s="10">
        <f>SUM(C159:D159)</f>
        <v>2748.73</v>
      </c>
      <c r="F159" s="10">
        <f>IF(AND(B159&gt;0,B159&gt;E159),B159-E159,0)</f>
        <v>0</v>
      </c>
      <c r="G159" s="10">
        <f>IF(AND(B159&gt;0,B159&lt;E159),B159-E159,0)</f>
        <v>-123.73000000000002</v>
      </c>
      <c r="H159" s="10">
        <f>IF(AND(B159=0,B159&lt;E159),E159-B159,0)</f>
        <v>0</v>
      </c>
    </row>
    <row r="160" spans="1:8" ht="18" customHeight="1" x14ac:dyDescent="0.3">
      <c r="A160" s="6" t="s">
        <v>156</v>
      </c>
      <c r="B160" s="7">
        <f>SUM(B158:B159)</f>
        <v>4761.75</v>
      </c>
      <c r="C160" s="7">
        <f t="shared" ref="C160:H160" si="38">SUM(C158:C159)</f>
        <v>0</v>
      </c>
      <c r="D160" s="7">
        <f t="shared" si="38"/>
        <v>3417.26</v>
      </c>
      <c r="E160" s="7">
        <f t="shared" si="38"/>
        <v>3417.26</v>
      </c>
      <c r="F160" s="7">
        <f t="shared" si="38"/>
        <v>1468.22</v>
      </c>
      <c r="G160" s="7">
        <f t="shared" si="38"/>
        <v>-123.73000000000002</v>
      </c>
      <c r="H160" s="7">
        <f t="shared" si="38"/>
        <v>0</v>
      </c>
    </row>
    <row r="161" spans="1:8" ht="14.25" customHeight="1" x14ac:dyDescent="0.3">
      <c r="B161" s="8"/>
      <c r="C161" s="8"/>
      <c r="D161" s="8"/>
      <c r="E161" s="8"/>
      <c r="F161" s="8"/>
      <c r="G161" s="8"/>
      <c r="H161" s="8"/>
    </row>
    <row r="162" spans="1:8" ht="18" customHeight="1" x14ac:dyDescent="0.3">
      <c r="A162" s="35" t="s">
        <v>51</v>
      </c>
      <c r="B162" s="36"/>
      <c r="C162" s="37"/>
      <c r="D162" s="37"/>
      <c r="E162" s="36"/>
      <c r="F162" s="36"/>
      <c r="G162" s="36"/>
      <c r="H162" s="37"/>
    </row>
    <row r="163" spans="1:8" ht="18" customHeight="1" x14ac:dyDescent="0.3">
      <c r="A163" s="2" t="s">
        <v>157</v>
      </c>
      <c r="B163" s="5">
        <v>26250</v>
      </c>
      <c r="C163" s="5"/>
      <c r="D163" s="5">
        <f>SUMIF(Material!$E:$E,TRIM(A163),Material!$F:$F)</f>
        <v>0</v>
      </c>
      <c r="E163" s="5">
        <f t="shared" ref="E163:E169" si="39">SUM(C163:D163)</f>
        <v>0</v>
      </c>
      <c r="F163" s="5">
        <f t="shared" ref="F163:F169" si="40">IF(AND(B163&gt;0,B163&gt;E163),B163-E163,0)</f>
        <v>26250</v>
      </c>
      <c r="G163" s="5">
        <f t="shared" ref="G163:G169" si="41">IF(AND(B163&gt;0,B163&lt;E163),B163-E163,0)</f>
        <v>0</v>
      </c>
      <c r="H163" s="5">
        <f t="shared" ref="H163:H169" si="42">IF(AND(B163=0,B163&lt;E163),E163-B163,0)</f>
        <v>0</v>
      </c>
    </row>
    <row r="164" spans="1:8" ht="18" customHeight="1" x14ac:dyDescent="0.3">
      <c r="A164" s="9" t="s">
        <v>158</v>
      </c>
      <c r="B164" s="10">
        <v>2625</v>
      </c>
      <c r="C164" s="10"/>
      <c r="D164" s="10">
        <f>SUMIF(Material!$E:$E,TRIM(A164),Material!$F:$F)</f>
        <v>0</v>
      </c>
      <c r="E164" s="10">
        <f t="shared" si="39"/>
        <v>0</v>
      </c>
      <c r="F164" s="10">
        <f t="shared" si="40"/>
        <v>2625</v>
      </c>
      <c r="G164" s="10">
        <f t="shared" si="41"/>
        <v>0</v>
      </c>
      <c r="H164" s="10">
        <f t="shared" si="42"/>
        <v>0</v>
      </c>
    </row>
    <row r="165" spans="1:8" ht="18" customHeight="1" x14ac:dyDescent="0.3">
      <c r="A165" s="2" t="s">
        <v>159</v>
      </c>
      <c r="B165" s="5">
        <v>5250</v>
      </c>
      <c r="C165" s="5"/>
      <c r="D165" s="5">
        <f>SUMIF(Material!$E:$E,TRIM(A165),Material!$F:$F)</f>
        <v>4450</v>
      </c>
      <c r="E165" s="5">
        <f t="shared" si="39"/>
        <v>4450</v>
      </c>
      <c r="F165" s="5">
        <f t="shared" si="40"/>
        <v>800</v>
      </c>
      <c r="G165" s="5">
        <f t="shared" si="41"/>
        <v>0</v>
      </c>
      <c r="H165" s="5">
        <f t="shared" si="42"/>
        <v>0</v>
      </c>
    </row>
    <row r="166" spans="1:8" ht="18" customHeight="1" x14ac:dyDescent="0.3">
      <c r="A166" s="9" t="s">
        <v>160</v>
      </c>
      <c r="B166" s="10">
        <v>6300</v>
      </c>
      <c r="C166" s="10"/>
      <c r="D166" s="10">
        <f>SUMIF(Material!$E:$E,TRIM(A166),Material!$F:$F)</f>
        <v>0</v>
      </c>
      <c r="E166" s="10">
        <f t="shared" si="39"/>
        <v>0</v>
      </c>
      <c r="F166" s="10">
        <f t="shared" si="40"/>
        <v>6300</v>
      </c>
      <c r="G166" s="10">
        <f t="shared" si="41"/>
        <v>0</v>
      </c>
      <c r="H166" s="10">
        <f t="shared" si="42"/>
        <v>0</v>
      </c>
    </row>
    <row r="167" spans="1:8" ht="18" customHeight="1" x14ac:dyDescent="0.3">
      <c r="A167" s="2" t="s">
        <v>161</v>
      </c>
      <c r="B167" s="5">
        <v>31500</v>
      </c>
      <c r="C167" s="5"/>
      <c r="D167" s="5">
        <f>SUMIF(Material!$E:$E,TRIM(A167),Material!$F:$F)</f>
        <v>0</v>
      </c>
      <c r="E167" s="5">
        <f t="shared" si="39"/>
        <v>0</v>
      </c>
      <c r="F167" s="5">
        <f t="shared" si="40"/>
        <v>31500</v>
      </c>
      <c r="G167" s="5">
        <f t="shared" si="41"/>
        <v>0</v>
      </c>
      <c r="H167" s="5">
        <f t="shared" si="42"/>
        <v>0</v>
      </c>
    </row>
    <row r="168" spans="1:8" ht="18" customHeight="1" x14ac:dyDescent="0.3">
      <c r="A168" s="9" t="s">
        <v>162</v>
      </c>
      <c r="B168" s="10">
        <v>12600</v>
      </c>
      <c r="C168" s="10"/>
      <c r="D168" s="10">
        <f>SUMIF(Material!$E:$E,TRIM(A168),Material!$F:$F)</f>
        <v>0</v>
      </c>
      <c r="E168" s="10">
        <f t="shared" si="39"/>
        <v>0</v>
      </c>
      <c r="F168" s="10">
        <f t="shared" si="40"/>
        <v>12600</v>
      </c>
      <c r="G168" s="10">
        <f t="shared" si="41"/>
        <v>0</v>
      </c>
      <c r="H168" s="10">
        <f t="shared" si="42"/>
        <v>0</v>
      </c>
    </row>
    <row r="169" spans="1:8" ht="18" customHeight="1" x14ac:dyDescent="0.3">
      <c r="A169" s="2" t="s">
        <v>163</v>
      </c>
      <c r="B169" s="5">
        <v>15750</v>
      </c>
      <c r="C169" s="5"/>
      <c r="D169" s="5">
        <f>SUMIF(Material!$E:$E,TRIM(A169),Material!$F:$F)</f>
        <v>0</v>
      </c>
      <c r="E169" s="5">
        <f t="shared" si="39"/>
        <v>0</v>
      </c>
      <c r="F169" s="5">
        <f t="shared" si="40"/>
        <v>15750</v>
      </c>
      <c r="G169" s="5">
        <f t="shared" si="41"/>
        <v>0</v>
      </c>
      <c r="H169" s="5">
        <f t="shared" si="42"/>
        <v>0</v>
      </c>
    </row>
    <row r="170" spans="1:8" ht="18" customHeight="1" x14ac:dyDescent="0.3">
      <c r="A170" s="6" t="s">
        <v>52</v>
      </c>
      <c r="B170" s="7">
        <f>SUM(B163:B169)</f>
        <v>100275</v>
      </c>
      <c r="C170" s="7">
        <f t="shared" ref="C170:H170" si="43">SUM(C163:C169)</f>
        <v>0</v>
      </c>
      <c r="D170" s="7">
        <f t="shared" si="43"/>
        <v>4450</v>
      </c>
      <c r="E170" s="7">
        <f t="shared" si="43"/>
        <v>4450</v>
      </c>
      <c r="F170" s="7">
        <f t="shared" si="43"/>
        <v>95825</v>
      </c>
      <c r="G170" s="7">
        <f t="shared" si="43"/>
        <v>0</v>
      </c>
      <c r="H170" s="7">
        <f t="shared" si="43"/>
        <v>0</v>
      </c>
    </row>
    <row r="171" spans="1:8" ht="14.25" customHeight="1" x14ac:dyDescent="0.3">
      <c r="B171" s="8"/>
      <c r="C171" s="8"/>
      <c r="D171" s="8"/>
      <c r="E171" s="8"/>
      <c r="F171" s="8"/>
      <c r="G171" s="8"/>
      <c r="H171" s="8"/>
    </row>
    <row r="172" spans="1:8" ht="14.25" customHeight="1" x14ac:dyDescent="0.3">
      <c r="A172" s="35" t="s">
        <v>169</v>
      </c>
      <c r="B172" s="36"/>
      <c r="C172" s="37"/>
      <c r="D172" s="37"/>
      <c r="E172" s="36"/>
      <c r="F172" s="36"/>
      <c r="G172" s="36"/>
      <c r="H172" s="37"/>
    </row>
    <row r="173" spans="1:8" ht="14.25" customHeight="1" x14ac:dyDescent="0.3">
      <c r="A173" s="2" t="s">
        <v>166</v>
      </c>
      <c r="B173" s="5">
        <v>7980</v>
      </c>
      <c r="C173" s="5"/>
      <c r="D173" s="5">
        <v>5490.4500000000007</v>
      </c>
      <c r="E173" s="5">
        <f t="shared" ref="E173:E178" si="44">SUM(C173:D173)</f>
        <v>5490.4500000000007</v>
      </c>
      <c r="F173" s="5">
        <f t="shared" ref="F173:F178" si="45">IF(AND(B173&gt;0,B173&gt;E173),B173-E173,0)</f>
        <v>2489.5499999999993</v>
      </c>
      <c r="G173" s="5">
        <f t="shared" ref="G173:G178" si="46">IF(AND(B173&gt;0,B173&lt;E173),B173-E173,0)</f>
        <v>0</v>
      </c>
      <c r="H173" s="5">
        <f t="shared" ref="H173:H178" si="47">IF(AND(B173=0,B173&lt;E173),E173-B173,0)</f>
        <v>0</v>
      </c>
    </row>
    <row r="174" spans="1:8" ht="14.25" customHeight="1" x14ac:dyDescent="0.3">
      <c r="A174" s="9" t="s">
        <v>167</v>
      </c>
      <c r="B174" s="10">
        <v>6300</v>
      </c>
      <c r="C174" s="10"/>
      <c r="D174" s="10">
        <v>6403.170000000001</v>
      </c>
      <c r="E174" s="10">
        <f t="shared" si="44"/>
        <v>6403.170000000001</v>
      </c>
      <c r="F174" s="10">
        <f t="shared" si="45"/>
        <v>0</v>
      </c>
      <c r="G174" s="10">
        <f t="shared" si="46"/>
        <v>-103.17000000000098</v>
      </c>
      <c r="H174" s="10">
        <f t="shared" si="47"/>
        <v>0</v>
      </c>
    </row>
    <row r="175" spans="1:8" ht="14.25" customHeight="1" x14ac:dyDescent="0.3">
      <c r="A175" s="2" t="s">
        <v>495</v>
      </c>
      <c r="B175" s="5">
        <v>8400</v>
      </c>
      <c r="C175" s="5"/>
      <c r="D175" s="5">
        <v>4813.8900000000003</v>
      </c>
      <c r="E175" s="5">
        <f t="shared" si="44"/>
        <v>4813.8900000000003</v>
      </c>
      <c r="F175" s="5">
        <f t="shared" si="45"/>
        <v>3586.1099999999997</v>
      </c>
      <c r="G175" s="5">
        <f t="shared" si="46"/>
        <v>0</v>
      </c>
      <c r="H175" s="5">
        <f t="shared" si="47"/>
        <v>0</v>
      </c>
    </row>
    <row r="176" spans="1:8" ht="14.25" customHeight="1" x14ac:dyDescent="0.3">
      <c r="A176" s="9" t="s">
        <v>496</v>
      </c>
      <c r="B176" s="10">
        <v>9030</v>
      </c>
      <c r="C176" s="10"/>
      <c r="D176" s="10">
        <v>4340.8900000000003</v>
      </c>
      <c r="E176" s="10">
        <f t="shared" si="44"/>
        <v>4340.8900000000003</v>
      </c>
      <c r="F176" s="10">
        <f t="shared" si="45"/>
        <v>4689.1099999999997</v>
      </c>
      <c r="G176" s="10">
        <f t="shared" si="46"/>
        <v>0</v>
      </c>
      <c r="H176" s="10">
        <f t="shared" si="47"/>
        <v>0</v>
      </c>
    </row>
    <row r="177" spans="1:8" ht="14.25" customHeight="1" x14ac:dyDescent="0.3">
      <c r="A177" s="2" t="s">
        <v>168</v>
      </c>
      <c r="B177" s="5">
        <v>13104</v>
      </c>
      <c r="C177" s="5"/>
      <c r="D177" s="5">
        <v>16060.019999999995</v>
      </c>
      <c r="E177" s="5">
        <f t="shared" si="44"/>
        <v>16060.019999999995</v>
      </c>
      <c r="F177" s="5">
        <f t="shared" si="45"/>
        <v>0</v>
      </c>
      <c r="G177" s="5">
        <f t="shared" si="46"/>
        <v>-2956.019999999995</v>
      </c>
      <c r="H177" s="5">
        <f t="shared" si="47"/>
        <v>0</v>
      </c>
    </row>
    <row r="178" spans="1:8" ht="14.25" customHeight="1" x14ac:dyDescent="0.3">
      <c r="A178" s="9" t="s">
        <v>567</v>
      </c>
      <c r="B178" s="10">
        <v>7295.4</v>
      </c>
      <c r="C178" s="10"/>
      <c r="D178" s="10">
        <f>SUMIF(Material!$E:$E,TRIM(A178),Material!$F:$F)+6937.42</f>
        <v>7772.42</v>
      </c>
      <c r="E178" s="10">
        <f t="shared" si="44"/>
        <v>7772.42</v>
      </c>
      <c r="F178" s="10">
        <f t="shared" si="45"/>
        <v>0</v>
      </c>
      <c r="G178" s="10">
        <f t="shared" si="46"/>
        <v>-477.02000000000044</v>
      </c>
      <c r="H178" s="10">
        <f t="shared" si="47"/>
        <v>0</v>
      </c>
    </row>
    <row r="179" spans="1:8" ht="14.25" customHeight="1" x14ac:dyDescent="0.3">
      <c r="A179" s="6" t="s">
        <v>170</v>
      </c>
      <c r="B179" s="7">
        <f>SUM(B173:B178)</f>
        <v>52109.4</v>
      </c>
      <c r="C179" s="7">
        <f t="shared" ref="C179:H179" si="48">SUM(C173:C178)</f>
        <v>0</v>
      </c>
      <c r="D179" s="7">
        <f t="shared" si="48"/>
        <v>44880.84</v>
      </c>
      <c r="E179" s="7">
        <f t="shared" si="48"/>
        <v>44880.84</v>
      </c>
      <c r="F179" s="7">
        <f t="shared" si="48"/>
        <v>10764.769999999999</v>
      </c>
      <c r="G179" s="7">
        <f t="shared" si="48"/>
        <v>-3536.2099999999964</v>
      </c>
      <c r="H179" s="7">
        <f t="shared" si="48"/>
        <v>0</v>
      </c>
    </row>
    <row r="180" spans="1:8" ht="14.25" customHeight="1" x14ac:dyDescent="0.3">
      <c r="B180" s="8"/>
      <c r="C180" s="8"/>
      <c r="D180" s="8"/>
      <c r="E180" s="8"/>
      <c r="F180" s="8"/>
      <c r="G180" s="8"/>
      <c r="H180" s="8"/>
    </row>
    <row r="181" spans="1:8" ht="15" customHeight="1" x14ac:dyDescent="0.3">
      <c r="A181" s="12" t="s">
        <v>53</v>
      </c>
      <c r="B181" s="13">
        <f t="shared" ref="B181:H181" si="49">B7+B14+B21+B27+B39+B47+B52+B60+B67+B71+B79+B83+B88+B97+B101+B106+B115+B123+B138+B142+B149+B155+B160+B170+B179</f>
        <v>1226617.4024999999</v>
      </c>
      <c r="C181" s="13">
        <f t="shared" si="49"/>
        <v>0</v>
      </c>
      <c r="D181" s="13">
        <f t="shared" si="49"/>
        <v>666257.27999999991</v>
      </c>
      <c r="E181" s="13">
        <f t="shared" si="49"/>
        <v>666257.27999999991</v>
      </c>
      <c r="F181" s="13">
        <f t="shared" si="49"/>
        <v>686234.18849999993</v>
      </c>
      <c r="G181" s="13">
        <f t="shared" si="49"/>
        <v>-118540.39600000002</v>
      </c>
      <c r="H181" s="13">
        <f t="shared" si="49"/>
        <v>7333.67</v>
      </c>
    </row>
    <row r="183" spans="1:8" ht="15" customHeight="1" x14ac:dyDescent="0.3">
      <c r="D183" s="20"/>
    </row>
    <row r="184" spans="1:8" ht="15" customHeight="1" x14ac:dyDescent="0.3">
      <c r="D184" s="24"/>
    </row>
    <row r="185" spans="1:8" ht="15" customHeight="1" x14ac:dyDescent="0.3">
      <c r="D185" s="20"/>
    </row>
    <row r="186" spans="1:8" ht="15" customHeight="1" x14ac:dyDescent="0.3">
      <c r="D186" s="20"/>
    </row>
    <row r="188" spans="1:8" ht="15" customHeight="1" x14ac:dyDescent="0.3">
      <c r="B188" s="20"/>
    </row>
  </sheetData>
  <mergeCells count="25">
    <mergeCell ref="A172:H172"/>
    <mergeCell ref="A4:H4"/>
    <mergeCell ref="A9:H9"/>
    <mergeCell ref="A16:H16"/>
    <mergeCell ref="A23:H23"/>
    <mergeCell ref="A29:H29"/>
    <mergeCell ref="A41:H41"/>
    <mergeCell ref="A49:H49"/>
    <mergeCell ref="A54:H54"/>
    <mergeCell ref="A62:H62"/>
    <mergeCell ref="A69:H69"/>
    <mergeCell ref="A73:H73"/>
    <mergeCell ref="A81:H81"/>
    <mergeCell ref="A85:H85"/>
    <mergeCell ref="A90:H90"/>
    <mergeCell ref="A99:H99"/>
    <mergeCell ref="A144:H144"/>
    <mergeCell ref="A151:H151"/>
    <mergeCell ref="A157:H157"/>
    <mergeCell ref="A162:H162"/>
    <mergeCell ref="A103:H103"/>
    <mergeCell ref="A108:H108"/>
    <mergeCell ref="A117:H117"/>
    <mergeCell ref="A125:H125"/>
    <mergeCell ref="A140:H140"/>
  </mergeCells>
  <conditionalFormatting sqref="G5:G6 G8:G13 G15:G20 G22:G26 G28:G38 G40:G46 G48:G51 G53:G59 G61:G66 G68:G70 G72:G78 G80:G82 G84:G87 G89:G96 G98:G100 G102:G105 G107:G114 G116:G122 G124:G137 G139:G141 G143:G148 G150:G154 G156:G159 G161:G169 G171:G178 G180">
    <cfRule type="cellIs" dxfId="1" priority="1" operator="lessThan">
      <formula>0</formula>
    </cfRule>
  </conditionalFormatting>
  <conditionalFormatting sqref="H5:H6 H8:H13 H15:H20 H22:H26 H28:H38 H40:H46 H48:H51 H53:H59 H61:H66 H68:H70 H72:H78 H80:H82 H84:H87 H89:H96 H98:H100 H102:H105 H107:H110">
    <cfRule type="cellIs" dxfId="0" priority="2" operator="greaterThan">
      <formula>0</formula>
    </cfRule>
  </conditionalFormatting>
  <pageMargins left="0.14000000000000001" right="0.08" top="0.13" bottom="0.39" header="0" footer="0"/>
  <pageSetup scale="93" orientation="landscape" r:id="rId1"/>
  <headerFoot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4"/>
  <sheetViews>
    <sheetView topLeftCell="A334" zoomScale="70" zoomScaleNormal="70" workbookViewId="0">
      <selection activeCell="G361" sqref="G361"/>
    </sheetView>
  </sheetViews>
  <sheetFormatPr defaultColWidth="14.44140625" defaultRowHeight="15" customHeight="1" x14ac:dyDescent="0.3"/>
  <cols>
    <col min="1" max="1" width="26" customWidth="1"/>
    <col min="2" max="2" width="29" bestFit="1" customWidth="1"/>
    <col min="3" max="3" width="34.5546875" customWidth="1"/>
    <col min="4" max="4" width="16.33203125" customWidth="1"/>
    <col min="5" max="5" width="11.6640625" customWidth="1"/>
    <col min="6" max="23" width="8.6640625" customWidth="1"/>
  </cols>
  <sheetData>
    <row r="1" spans="1:9" ht="3.75" customHeight="1" x14ac:dyDescent="0.3">
      <c r="A1" s="1"/>
      <c r="B1" s="1"/>
      <c r="C1" s="1"/>
      <c r="D1" s="1"/>
      <c r="E1" s="1"/>
    </row>
    <row r="2" spans="1:9" ht="27.75" customHeight="1" x14ac:dyDescent="0.3">
      <c r="A2" s="14" t="s">
        <v>0</v>
      </c>
      <c r="B2" s="14" t="s">
        <v>54</v>
      </c>
      <c r="C2" s="15" t="s">
        <v>55</v>
      </c>
      <c r="D2" s="14" t="s">
        <v>56</v>
      </c>
      <c r="E2" s="14" t="s">
        <v>57</v>
      </c>
    </row>
    <row r="3" spans="1:9" ht="14.25" customHeight="1" x14ac:dyDescent="0.3">
      <c r="A3" s="28" t="s">
        <v>187</v>
      </c>
      <c r="B3" s="29"/>
      <c r="C3" s="28"/>
      <c r="D3" s="28"/>
      <c r="E3" s="30"/>
    </row>
    <row r="4" spans="1:9" ht="14.25" customHeight="1" x14ac:dyDescent="0.3">
      <c r="A4" s="31"/>
      <c r="B4" s="32">
        <v>46070</v>
      </c>
      <c r="C4" s="31" t="s">
        <v>171</v>
      </c>
      <c r="D4" s="31" t="s">
        <v>59</v>
      </c>
      <c r="E4" s="33">
        <v>4</v>
      </c>
      <c r="F4" s="16"/>
      <c r="G4" s="17"/>
      <c r="H4" s="17"/>
      <c r="I4" s="17"/>
    </row>
    <row r="5" spans="1:9" ht="14.25" customHeight="1" x14ac:dyDescent="0.3">
      <c r="A5" s="31"/>
      <c r="B5" s="32">
        <v>46070</v>
      </c>
      <c r="C5" s="31" t="s">
        <v>171</v>
      </c>
      <c r="D5" s="31" t="s">
        <v>59</v>
      </c>
      <c r="E5" s="33">
        <v>4</v>
      </c>
      <c r="F5" s="16"/>
      <c r="G5" s="17"/>
      <c r="H5" s="17"/>
      <c r="I5" s="17"/>
    </row>
    <row r="6" spans="1:9" ht="14.25" customHeight="1" x14ac:dyDescent="0.3">
      <c r="A6" s="31"/>
      <c r="B6" s="32">
        <v>46071</v>
      </c>
      <c r="C6" s="31" t="s">
        <v>171</v>
      </c>
      <c r="D6" s="31" t="s">
        <v>59</v>
      </c>
      <c r="E6" s="33">
        <v>4.5</v>
      </c>
    </row>
    <row r="7" spans="1:9" ht="14.25" customHeight="1" x14ac:dyDescent="0.3">
      <c r="A7" s="31"/>
      <c r="B7" s="32">
        <v>46071</v>
      </c>
      <c r="C7" s="31" t="s">
        <v>171</v>
      </c>
      <c r="D7" s="31" t="s">
        <v>59</v>
      </c>
      <c r="E7" s="33">
        <v>0.67</v>
      </c>
    </row>
    <row r="8" spans="1:9" ht="14.25" customHeight="1" x14ac:dyDescent="0.3">
      <c r="A8" s="31"/>
      <c r="B8" s="32">
        <v>46072</v>
      </c>
      <c r="C8" s="31" t="s">
        <v>171</v>
      </c>
      <c r="D8" s="31" t="s">
        <v>59</v>
      </c>
      <c r="E8" s="33">
        <v>2.17</v>
      </c>
    </row>
    <row r="9" spans="1:9" ht="14.25" customHeight="1" x14ac:dyDescent="0.3">
      <c r="A9" s="31"/>
      <c r="B9" s="32">
        <v>46072</v>
      </c>
      <c r="C9" s="31" t="s">
        <v>171</v>
      </c>
      <c r="D9" s="31" t="s">
        <v>59</v>
      </c>
      <c r="E9" s="33">
        <v>0.33</v>
      </c>
    </row>
    <row r="10" spans="1:9" ht="14.25" customHeight="1" x14ac:dyDescent="0.3">
      <c r="A10" s="31"/>
      <c r="B10" s="32">
        <v>46073</v>
      </c>
      <c r="C10" s="31" t="s">
        <v>171</v>
      </c>
      <c r="D10" s="31" t="s">
        <v>59</v>
      </c>
      <c r="E10" s="33">
        <v>3.83</v>
      </c>
    </row>
    <row r="11" spans="1:9" ht="14.25" customHeight="1" x14ac:dyDescent="0.3">
      <c r="A11" s="31"/>
      <c r="B11" s="32">
        <v>46076</v>
      </c>
      <c r="C11" s="31" t="s">
        <v>171</v>
      </c>
      <c r="D11" s="31" t="s">
        <v>59</v>
      </c>
      <c r="E11" s="33">
        <v>0.5</v>
      </c>
    </row>
    <row r="12" spans="1:9" ht="14.25" customHeight="1" x14ac:dyDescent="0.3">
      <c r="A12" s="31"/>
      <c r="B12" s="32">
        <v>46080</v>
      </c>
      <c r="C12" s="31" t="s">
        <v>171</v>
      </c>
      <c r="D12" s="31" t="s">
        <v>59</v>
      </c>
      <c r="E12" s="33">
        <v>5.17</v>
      </c>
    </row>
    <row r="13" spans="1:9" ht="14.25" customHeight="1" x14ac:dyDescent="0.3">
      <c r="A13" s="31"/>
      <c r="B13" s="32">
        <v>46080</v>
      </c>
      <c r="C13" s="31" t="s">
        <v>171</v>
      </c>
      <c r="D13" s="31" t="s">
        <v>59</v>
      </c>
      <c r="E13" s="33">
        <v>2.83</v>
      </c>
    </row>
    <row r="14" spans="1:9" ht="14.25" customHeight="1" x14ac:dyDescent="0.3">
      <c r="A14" s="31"/>
      <c r="B14" s="32">
        <v>46083</v>
      </c>
      <c r="C14" s="31" t="s">
        <v>171</v>
      </c>
      <c r="D14" s="31" t="s">
        <v>59</v>
      </c>
      <c r="E14" s="33">
        <v>3.5</v>
      </c>
    </row>
    <row r="15" spans="1:9" ht="14.25" customHeight="1" x14ac:dyDescent="0.3">
      <c r="A15" s="31"/>
      <c r="B15" s="32">
        <v>46084</v>
      </c>
      <c r="C15" s="31" t="s">
        <v>171</v>
      </c>
      <c r="D15" s="31" t="s">
        <v>59</v>
      </c>
      <c r="E15" s="33">
        <v>0.83</v>
      </c>
    </row>
    <row r="16" spans="1:9" ht="14.25" customHeight="1" x14ac:dyDescent="0.3">
      <c r="A16" s="31"/>
      <c r="B16" s="32">
        <v>46084</v>
      </c>
      <c r="C16" s="31" t="s">
        <v>171</v>
      </c>
      <c r="D16" s="31" t="s">
        <v>59</v>
      </c>
      <c r="E16" s="33">
        <v>0.83</v>
      </c>
    </row>
    <row r="17" spans="1:5" ht="14.25" customHeight="1" x14ac:dyDescent="0.3">
      <c r="A17" s="31"/>
      <c r="B17" s="32">
        <v>46085</v>
      </c>
      <c r="C17" s="31" t="s">
        <v>171</v>
      </c>
      <c r="D17" s="31" t="s">
        <v>59</v>
      </c>
      <c r="E17" s="33">
        <v>2.67</v>
      </c>
    </row>
    <row r="18" spans="1:5" ht="14.25" customHeight="1" x14ac:dyDescent="0.3">
      <c r="A18" s="31"/>
      <c r="B18" s="32">
        <v>46085</v>
      </c>
      <c r="C18" s="31" t="s">
        <v>171</v>
      </c>
      <c r="D18" s="31" t="s">
        <v>59</v>
      </c>
      <c r="E18" s="33">
        <v>0</v>
      </c>
    </row>
    <row r="19" spans="1:5" ht="14.25" customHeight="1" x14ac:dyDescent="0.3">
      <c r="A19" s="31"/>
      <c r="B19" s="32">
        <v>46085</v>
      </c>
      <c r="C19" s="31" t="s">
        <v>171</v>
      </c>
      <c r="D19" s="31" t="s">
        <v>59</v>
      </c>
      <c r="E19" s="33">
        <v>3.5</v>
      </c>
    </row>
    <row r="20" spans="1:5" ht="14.25" customHeight="1" x14ac:dyDescent="0.3">
      <c r="A20" s="31"/>
      <c r="B20" s="32">
        <v>46086</v>
      </c>
      <c r="C20" s="31" t="s">
        <v>171</v>
      </c>
      <c r="D20" s="31" t="s">
        <v>59</v>
      </c>
      <c r="E20" s="33">
        <v>4.33</v>
      </c>
    </row>
    <row r="21" spans="1:5" ht="14.25" customHeight="1" x14ac:dyDescent="0.3">
      <c r="A21" s="31"/>
      <c r="B21" s="32">
        <v>46086</v>
      </c>
      <c r="C21" s="31" t="s">
        <v>171</v>
      </c>
      <c r="D21" s="31" t="s">
        <v>59</v>
      </c>
      <c r="E21" s="33">
        <v>4.5</v>
      </c>
    </row>
    <row r="22" spans="1:5" ht="14.25" customHeight="1" x14ac:dyDescent="0.3">
      <c r="A22" s="31"/>
      <c r="B22" s="32">
        <v>46087</v>
      </c>
      <c r="C22" s="31" t="s">
        <v>171</v>
      </c>
      <c r="D22" s="31" t="s">
        <v>59</v>
      </c>
      <c r="E22" s="33">
        <v>1.83</v>
      </c>
    </row>
    <row r="23" spans="1:5" ht="14.25" customHeight="1" x14ac:dyDescent="0.3">
      <c r="A23" s="31"/>
      <c r="B23" s="32">
        <v>46087</v>
      </c>
      <c r="C23" s="31" t="s">
        <v>171</v>
      </c>
      <c r="D23" s="31" t="s">
        <v>59</v>
      </c>
      <c r="E23" s="33">
        <v>2.25</v>
      </c>
    </row>
    <row r="24" spans="1:5" ht="14.25" customHeight="1" x14ac:dyDescent="0.3">
      <c r="A24" s="31"/>
      <c r="B24" s="32">
        <v>46087</v>
      </c>
      <c r="C24" s="31" t="s">
        <v>171</v>
      </c>
      <c r="D24" s="31" t="s">
        <v>59</v>
      </c>
      <c r="E24" s="33">
        <v>3.67</v>
      </c>
    </row>
    <row r="25" spans="1:5" ht="14.25" customHeight="1" x14ac:dyDescent="0.3">
      <c r="A25" s="31"/>
      <c r="B25" s="32">
        <v>46087</v>
      </c>
      <c r="C25" s="31" t="s">
        <v>171</v>
      </c>
      <c r="D25" s="31" t="s">
        <v>59</v>
      </c>
      <c r="E25" s="33">
        <v>0.33</v>
      </c>
    </row>
    <row r="26" spans="1:5" ht="14.25" customHeight="1" x14ac:dyDescent="0.3">
      <c r="A26" s="31" t="s">
        <v>188</v>
      </c>
      <c r="B26" s="32"/>
      <c r="C26" s="31"/>
      <c r="D26" s="31"/>
      <c r="E26" s="33">
        <v>56.24</v>
      </c>
    </row>
    <row r="27" spans="1:5" ht="14.25" customHeight="1" x14ac:dyDescent="0.3">
      <c r="A27" s="28" t="s">
        <v>172</v>
      </c>
      <c r="B27" s="29"/>
      <c r="C27" s="28"/>
      <c r="D27" s="28"/>
      <c r="E27" s="30"/>
    </row>
    <row r="28" spans="1:5" ht="14.25" customHeight="1" x14ac:dyDescent="0.3">
      <c r="A28" s="31"/>
      <c r="B28" s="32">
        <v>46076</v>
      </c>
      <c r="C28" s="31" t="s">
        <v>171</v>
      </c>
      <c r="D28" s="31" t="s">
        <v>59</v>
      </c>
      <c r="E28" s="33">
        <v>3.83</v>
      </c>
    </row>
    <row r="29" spans="1:5" ht="14.25" customHeight="1" x14ac:dyDescent="0.3">
      <c r="A29" s="31"/>
      <c r="B29" s="32">
        <v>46076</v>
      </c>
      <c r="C29" s="31" t="s">
        <v>171</v>
      </c>
      <c r="D29" s="31" t="s">
        <v>59</v>
      </c>
      <c r="E29" s="33">
        <v>0.5</v>
      </c>
    </row>
    <row r="30" spans="1:5" ht="14.25" customHeight="1" x14ac:dyDescent="0.3">
      <c r="A30" s="31"/>
      <c r="B30" s="32">
        <v>46077</v>
      </c>
      <c r="C30" s="31" t="s">
        <v>171</v>
      </c>
      <c r="D30" s="31" t="s">
        <v>59</v>
      </c>
      <c r="E30" s="33">
        <v>4.17</v>
      </c>
    </row>
    <row r="31" spans="1:5" ht="14.25" customHeight="1" x14ac:dyDescent="0.3">
      <c r="A31" s="31"/>
      <c r="B31" s="32">
        <v>46078</v>
      </c>
      <c r="C31" s="31" t="s">
        <v>171</v>
      </c>
      <c r="D31" s="31" t="s">
        <v>59</v>
      </c>
      <c r="E31" s="33">
        <v>0.17</v>
      </c>
    </row>
    <row r="32" spans="1:5" ht="14.25" customHeight="1" x14ac:dyDescent="0.3">
      <c r="A32" s="31"/>
      <c r="B32" s="32">
        <v>46078</v>
      </c>
      <c r="C32" s="31" t="s">
        <v>171</v>
      </c>
      <c r="D32" s="31" t="s">
        <v>59</v>
      </c>
      <c r="E32" s="33">
        <v>2.33</v>
      </c>
    </row>
    <row r="33" spans="1:5" ht="14.25" customHeight="1" x14ac:dyDescent="0.3">
      <c r="A33" s="31"/>
      <c r="B33" s="32">
        <v>46079</v>
      </c>
      <c r="C33" s="31" t="s">
        <v>173</v>
      </c>
      <c r="D33" s="31" t="s">
        <v>59</v>
      </c>
      <c r="E33" s="33">
        <v>3.67</v>
      </c>
    </row>
    <row r="34" spans="1:5" ht="14.25" customHeight="1" x14ac:dyDescent="0.3">
      <c r="A34" s="31"/>
      <c r="B34" s="32">
        <v>46083</v>
      </c>
      <c r="C34" s="31" t="s">
        <v>171</v>
      </c>
      <c r="D34" s="31" t="s">
        <v>59</v>
      </c>
      <c r="E34" s="33">
        <v>2.67</v>
      </c>
    </row>
    <row r="35" spans="1:5" ht="14.25" customHeight="1" x14ac:dyDescent="0.3">
      <c r="A35" s="31"/>
      <c r="B35" s="32">
        <v>46090</v>
      </c>
      <c r="C35" s="31" t="s">
        <v>173</v>
      </c>
      <c r="D35" s="31" t="s">
        <v>59</v>
      </c>
      <c r="E35" s="33">
        <v>2.83</v>
      </c>
    </row>
    <row r="36" spans="1:5" ht="14.25" customHeight="1" x14ac:dyDescent="0.3">
      <c r="A36" s="31"/>
      <c r="B36" s="32">
        <v>46090</v>
      </c>
      <c r="C36" s="31" t="s">
        <v>173</v>
      </c>
      <c r="D36" s="31" t="s">
        <v>59</v>
      </c>
      <c r="E36" s="33">
        <v>4.17</v>
      </c>
    </row>
    <row r="37" spans="1:5" ht="14.25" customHeight="1" x14ac:dyDescent="0.3">
      <c r="A37" s="31"/>
      <c r="B37" s="32">
        <v>46090</v>
      </c>
      <c r="C37" s="31" t="s">
        <v>171</v>
      </c>
      <c r="D37" s="31" t="s">
        <v>59</v>
      </c>
      <c r="E37" s="33">
        <v>6.17</v>
      </c>
    </row>
    <row r="38" spans="1:5" ht="14.25" customHeight="1" x14ac:dyDescent="0.3">
      <c r="A38" s="31"/>
      <c r="B38" s="32">
        <v>46090</v>
      </c>
      <c r="C38" s="31" t="s">
        <v>171</v>
      </c>
      <c r="D38" s="31" t="s">
        <v>59</v>
      </c>
      <c r="E38" s="33">
        <v>2.83</v>
      </c>
    </row>
    <row r="39" spans="1:5" ht="14.25" customHeight="1" x14ac:dyDescent="0.3">
      <c r="A39" s="31"/>
      <c r="B39" s="32">
        <v>46091</v>
      </c>
      <c r="C39" s="31" t="s">
        <v>173</v>
      </c>
      <c r="D39" s="31" t="s">
        <v>59</v>
      </c>
      <c r="E39" s="33">
        <v>4</v>
      </c>
    </row>
    <row r="40" spans="1:5" ht="15" customHeight="1" x14ac:dyDescent="0.3">
      <c r="A40" s="31"/>
      <c r="B40" s="32">
        <v>46091</v>
      </c>
      <c r="C40" s="31" t="s">
        <v>173</v>
      </c>
      <c r="D40" s="31" t="s">
        <v>59</v>
      </c>
      <c r="E40" s="33">
        <v>0</v>
      </c>
    </row>
    <row r="41" spans="1:5" ht="15" customHeight="1" x14ac:dyDescent="0.3">
      <c r="A41" s="31"/>
      <c r="B41" s="32">
        <v>46091</v>
      </c>
      <c r="C41" s="31" t="s">
        <v>173</v>
      </c>
      <c r="D41" s="31" t="s">
        <v>59</v>
      </c>
      <c r="E41" s="33">
        <v>3.5</v>
      </c>
    </row>
    <row r="42" spans="1:5" ht="15" customHeight="1" x14ac:dyDescent="0.3">
      <c r="A42" s="31"/>
      <c r="B42" s="32">
        <v>46091</v>
      </c>
      <c r="C42" s="31" t="s">
        <v>171</v>
      </c>
      <c r="D42" s="31" t="s">
        <v>59</v>
      </c>
      <c r="E42" s="33">
        <v>5.5</v>
      </c>
    </row>
    <row r="43" spans="1:5" ht="15" customHeight="1" x14ac:dyDescent="0.3">
      <c r="A43" s="31"/>
      <c r="B43" s="32">
        <v>46091</v>
      </c>
      <c r="C43" s="31" t="s">
        <v>171</v>
      </c>
      <c r="D43" s="31" t="s">
        <v>59</v>
      </c>
      <c r="E43" s="33">
        <v>2.83</v>
      </c>
    </row>
    <row r="44" spans="1:5" ht="15" customHeight="1" x14ac:dyDescent="0.3">
      <c r="A44" s="31"/>
      <c r="B44" s="32">
        <v>46092</v>
      </c>
      <c r="C44" s="31" t="s">
        <v>173</v>
      </c>
      <c r="D44" s="31" t="s">
        <v>59</v>
      </c>
      <c r="E44" s="33">
        <v>0.33</v>
      </c>
    </row>
    <row r="45" spans="1:5" ht="15" customHeight="1" x14ac:dyDescent="0.3">
      <c r="A45" s="31"/>
      <c r="B45" s="32">
        <v>46092</v>
      </c>
      <c r="C45" s="31" t="s">
        <v>171</v>
      </c>
      <c r="D45" s="31" t="s">
        <v>59</v>
      </c>
      <c r="E45" s="33">
        <v>6.67</v>
      </c>
    </row>
    <row r="46" spans="1:5" ht="15" customHeight="1" x14ac:dyDescent="0.3">
      <c r="A46" s="31"/>
      <c r="B46" s="32">
        <v>46092</v>
      </c>
      <c r="C46" s="31" t="s">
        <v>171</v>
      </c>
      <c r="D46" s="31" t="s">
        <v>59</v>
      </c>
      <c r="E46" s="33">
        <v>0.5</v>
      </c>
    </row>
    <row r="47" spans="1:5" ht="15" customHeight="1" x14ac:dyDescent="0.3">
      <c r="A47" s="31"/>
      <c r="B47" s="32">
        <v>46092</v>
      </c>
      <c r="C47" s="31" t="s">
        <v>171</v>
      </c>
      <c r="D47" s="31" t="s">
        <v>59</v>
      </c>
      <c r="E47" s="33">
        <v>0.17</v>
      </c>
    </row>
    <row r="48" spans="1:5" ht="15" customHeight="1" x14ac:dyDescent="0.3">
      <c r="A48" s="31"/>
      <c r="B48" s="32">
        <v>46093</v>
      </c>
      <c r="C48" s="31" t="s">
        <v>171</v>
      </c>
      <c r="D48" s="31" t="s">
        <v>59</v>
      </c>
      <c r="E48" s="33">
        <v>3.17</v>
      </c>
    </row>
    <row r="49" spans="1:5" ht="15" customHeight="1" x14ac:dyDescent="0.3">
      <c r="A49" s="31"/>
      <c r="B49" s="32">
        <v>46093</v>
      </c>
      <c r="C49" s="31" t="s">
        <v>171</v>
      </c>
      <c r="D49" s="31" t="s">
        <v>59</v>
      </c>
      <c r="E49" s="33">
        <v>2.17</v>
      </c>
    </row>
    <row r="50" spans="1:5" ht="15" customHeight="1" x14ac:dyDescent="0.3">
      <c r="A50" s="31"/>
      <c r="B50" s="32">
        <v>46093</v>
      </c>
      <c r="C50" s="31" t="s">
        <v>171</v>
      </c>
      <c r="D50" s="31" t="s">
        <v>59</v>
      </c>
      <c r="E50" s="33">
        <v>2.17</v>
      </c>
    </row>
    <row r="51" spans="1:5" ht="15" customHeight="1" x14ac:dyDescent="0.3">
      <c r="A51" s="31"/>
      <c r="B51" s="32">
        <v>46094</v>
      </c>
      <c r="C51" s="31" t="s">
        <v>174</v>
      </c>
      <c r="D51" s="31" t="s">
        <v>59</v>
      </c>
      <c r="E51" s="33">
        <v>2</v>
      </c>
    </row>
    <row r="52" spans="1:5" ht="15" customHeight="1" x14ac:dyDescent="0.3">
      <c r="A52" s="31"/>
      <c r="B52" s="32">
        <v>46094</v>
      </c>
      <c r="C52" s="31" t="s">
        <v>174</v>
      </c>
      <c r="D52" s="31" t="s">
        <v>59</v>
      </c>
      <c r="E52" s="33">
        <v>1</v>
      </c>
    </row>
    <row r="53" spans="1:5" ht="15" customHeight="1" x14ac:dyDescent="0.3">
      <c r="A53" s="31"/>
      <c r="B53" s="32">
        <v>46094</v>
      </c>
      <c r="C53" s="31" t="s">
        <v>173</v>
      </c>
      <c r="D53" s="31" t="s">
        <v>59</v>
      </c>
      <c r="E53" s="33">
        <v>3.17</v>
      </c>
    </row>
    <row r="54" spans="1:5" ht="15" customHeight="1" x14ac:dyDescent="0.3">
      <c r="A54" s="31"/>
      <c r="B54" s="32">
        <v>46094</v>
      </c>
      <c r="C54" s="31" t="s">
        <v>171</v>
      </c>
      <c r="D54" s="31" t="s">
        <v>59</v>
      </c>
      <c r="E54" s="33">
        <v>6</v>
      </c>
    </row>
    <row r="55" spans="1:5" ht="15" customHeight="1" x14ac:dyDescent="0.3">
      <c r="A55" s="31"/>
      <c r="B55" s="32">
        <v>46097</v>
      </c>
      <c r="C55" s="31" t="s">
        <v>171</v>
      </c>
      <c r="D55" s="31" t="s">
        <v>59</v>
      </c>
      <c r="E55" s="33">
        <v>5.17</v>
      </c>
    </row>
    <row r="56" spans="1:5" ht="15" customHeight="1" x14ac:dyDescent="0.3">
      <c r="A56" s="31"/>
      <c r="B56" s="32">
        <v>46097</v>
      </c>
      <c r="C56" s="31" t="s">
        <v>171</v>
      </c>
      <c r="D56" s="31" t="s">
        <v>59</v>
      </c>
      <c r="E56" s="33">
        <v>2.83</v>
      </c>
    </row>
    <row r="57" spans="1:5" ht="15" customHeight="1" x14ac:dyDescent="0.3">
      <c r="A57" s="31"/>
      <c r="B57" s="32">
        <v>46099</v>
      </c>
      <c r="C57" s="31" t="s">
        <v>171</v>
      </c>
      <c r="D57" s="31" t="s">
        <v>59</v>
      </c>
      <c r="E57" s="33">
        <v>1.42</v>
      </c>
    </row>
    <row r="58" spans="1:5" ht="15" customHeight="1" x14ac:dyDescent="0.3">
      <c r="A58" s="31"/>
      <c r="B58" s="32">
        <v>46101</v>
      </c>
      <c r="C58" s="31" t="s">
        <v>171</v>
      </c>
      <c r="D58" s="31" t="s">
        <v>59</v>
      </c>
      <c r="E58" s="33">
        <v>1.33</v>
      </c>
    </row>
    <row r="59" spans="1:5" ht="15" customHeight="1" x14ac:dyDescent="0.3">
      <c r="A59" s="31"/>
      <c r="B59" s="32">
        <v>46101</v>
      </c>
      <c r="C59" s="31" t="s">
        <v>171</v>
      </c>
      <c r="D59" s="31" t="s">
        <v>59</v>
      </c>
      <c r="E59" s="33">
        <v>3.17</v>
      </c>
    </row>
    <row r="60" spans="1:5" ht="15" customHeight="1" x14ac:dyDescent="0.3">
      <c r="A60" s="31" t="s">
        <v>175</v>
      </c>
      <c r="B60" s="32"/>
      <c r="C60" s="31"/>
      <c r="D60" s="31"/>
      <c r="E60" s="33">
        <v>90.44</v>
      </c>
    </row>
    <row r="61" spans="1:5" ht="15" customHeight="1" x14ac:dyDescent="0.3">
      <c r="A61" s="28" t="s">
        <v>488</v>
      </c>
      <c r="B61" s="29"/>
      <c r="C61" s="28"/>
      <c r="D61" s="28"/>
      <c r="E61" s="30"/>
    </row>
    <row r="62" spans="1:5" ht="15" customHeight="1" x14ac:dyDescent="0.3">
      <c r="A62" s="31"/>
      <c r="B62" s="32">
        <v>46198</v>
      </c>
      <c r="C62" s="31" t="s">
        <v>171</v>
      </c>
      <c r="D62" s="31" t="s">
        <v>59</v>
      </c>
      <c r="E62" s="33">
        <v>1.25</v>
      </c>
    </row>
    <row r="63" spans="1:5" ht="15" customHeight="1" x14ac:dyDescent="0.3">
      <c r="A63" s="31"/>
      <c r="B63" s="32">
        <v>46198</v>
      </c>
      <c r="C63" s="31" t="s">
        <v>171</v>
      </c>
      <c r="D63" s="31" t="s">
        <v>59</v>
      </c>
      <c r="E63" s="33">
        <v>1.67</v>
      </c>
    </row>
    <row r="64" spans="1:5" ht="15" customHeight="1" x14ac:dyDescent="0.3">
      <c r="A64" s="31"/>
      <c r="B64" s="32">
        <v>46203</v>
      </c>
      <c r="C64" s="31" t="s">
        <v>171</v>
      </c>
      <c r="D64" s="31" t="s">
        <v>59</v>
      </c>
      <c r="E64" s="33">
        <v>0.17</v>
      </c>
    </row>
    <row r="65" spans="1:5" ht="15" customHeight="1" x14ac:dyDescent="0.3">
      <c r="A65" s="31" t="s">
        <v>489</v>
      </c>
      <c r="B65" s="32"/>
      <c r="C65" s="31"/>
      <c r="D65" s="31"/>
      <c r="E65" s="33">
        <v>3.09</v>
      </c>
    </row>
    <row r="66" spans="1:5" ht="15" customHeight="1" x14ac:dyDescent="0.3">
      <c r="A66" s="28" t="s">
        <v>176</v>
      </c>
      <c r="B66" s="29"/>
      <c r="C66" s="28"/>
      <c r="D66" s="28"/>
      <c r="E66" s="30"/>
    </row>
    <row r="67" spans="1:5" ht="15" customHeight="1" x14ac:dyDescent="0.3">
      <c r="A67" s="31"/>
      <c r="B67" s="32">
        <v>46104</v>
      </c>
      <c r="C67" s="31" t="s">
        <v>174</v>
      </c>
      <c r="D67" s="31" t="s">
        <v>59</v>
      </c>
      <c r="E67" s="33">
        <v>4</v>
      </c>
    </row>
    <row r="68" spans="1:5" ht="15" customHeight="1" x14ac:dyDescent="0.3">
      <c r="A68" s="31"/>
      <c r="B68" s="32">
        <v>46104</v>
      </c>
      <c r="C68" s="31" t="s">
        <v>174</v>
      </c>
      <c r="D68" s="31" t="s">
        <v>59</v>
      </c>
      <c r="E68" s="33">
        <v>3.75</v>
      </c>
    </row>
    <row r="69" spans="1:5" ht="15" customHeight="1" x14ac:dyDescent="0.3">
      <c r="A69" s="31"/>
      <c r="B69" s="32">
        <v>46104</v>
      </c>
      <c r="C69" s="31" t="s">
        <v>171</v>
      </c>
      <c r="D69" s="31" t="s">
        <v>59</v>
      </c>
      <c r="E69" s="33">
        <v>0.75</v>
      </c>
    </row>
    <row r="70" spans="1:5" ht="15" customHeight="1" x14ac:dyDescent="0.3">
      <c r="A70" s="31"/>
      <c r="B70" s="32">
        <v>46104</v>
      </c>
      <c r="C70" s="31" t="s">
        <v>171</v>
      </c>
      <c r="D70" s="31" t="s">
        <v>59</v>
      </c>
      <c r="E70" s="33">
        <v>3.42</v>
      </c>
    </row>
    <row r="71" spans="1:5" ht="15" customHeight="1" x14ac:dyDescent="0.3">
      <c r="A71" s="31"/>
      <c r="B71" s="32">
        <v>46106</v>
      </c>
      <c r="C71" s="31" t="s">
        <v>174</v>
      </c>
      <c r="D71" s="31" t="s">
        <v>59</v>
      </c>
      <c r="E71" s="33">
        <v>4.25</v>
      </c>
    </row>
    <row r="72" spans="1:5" ht="15" customHeight="1" x14ac:dyDescent="0.3">
      <c r="A72" s="31"/>
      <c r="B72" s="32">
        <v>46106</v>
      </c>
      <c r="C72" s="31" t="s">
        <v>174</v>
      </c>
      <c r="D72" s="31" t="s">
        <v>59</v>
      </c>
      <c r="E72" s="33">
        <v>0</v>
      </c>
    </row>
    <row r="73" spans="1:5" ht="15" customHeight="1" x14ac:dyDescent="0.3">
      <c r="A73" s="31"/>
      <c r="B73" s="32">
        <v>46106</v>
      </c>
      <c r="C73" s="31" t="s">
        <v>174</v>
      </c>
      <c r="D73" s="31" t="s">
        <v>59</v>
      </c>
      <c r="E73" s="33">
        <v>5.58</v>
      </c>
    </row>
    <row r="74" spans="1:5" ht="15" customHeight="1" x14ac:dyDescent="0.3">
      <c r="A74" s="31"/>
      <c r="B74" s="32">
        <v>46106</v>
      </c>
      <c r="C74" s="31" t="s">
        <v>171</v>
      </c>
      <c r="D74" s="31" t="s">
        <v>59</v>
      </c>
      <c r="E74" s="33">
        <v>2.58</v>
      </c>
    </row>
    <row r="75" spans="1:5" ht="15" customHeight="1" x14ac:dyDescent="0.3">
      <c r="A75" s="31"/>
      <c r="B75" s="32">
        <v>46106</v>
      </c>
      <c r="C75" s="31" t="s">
        <v>171</v>
      </c>
      <c r="D75" s="31" t="s">
        <v>59</v>
      </c>
      <c r="E75" s="33">
        <v>3.25</v>
      </c>
    </row>
    <row r="76" spans="1:5" ht="15" customHeight="1" x14ac:dyDescent="0.3">
      <c r="A76" s="31"/>
      <c r="B76" s="32">
        <v>46107</v>
      </c>
      <c r="C76" s="31" t="s">
        <v>174</v>
      </c>
      <c r="D76" s="31" t="s">
        <v>59</v>
      </c>
      <c r="E76" s="33">
        <v>4.25</v>
      </c>
    </row>
    <row r="77" spans="1:5" ht="15" customHeight="1" x14ac:dyDescent="0.3">
      <c r="A77" s="31"/>
      <c r="B77" s="32">
        <v>46107</v>
      </c>
      <c r="C77" s="31" t="s">
        <v>174</v>
      </c>
      <c r="D77" s="31" t="s">
        <v>59</v>
      </c>
      <c r="E77" s="33">
        <v>3.08</v>
      </c>
    </row>
    <row r="78" spans="1:5" ht="15" customHeight="1" x14ac:dyDescent="0.3">
      <c r="A78" s="31"/>
      <c r="B78" s="32">
        <v>46107</v>
      </c>
      <c r="C78" s="31" t="s">
        <v>171</v>
      </c>
      <c r="D78" s="31" t="s">
        <v>59</v>
      </c>
      <c r="E78" s="33">
        <v>5.33</v>
      </c>
    </row>
    <row r="79" spans="1:5" ht="15" customHeight="1" x14ac:dyDescent="0.3">
      <c r="A79" s="31"/>
      <c r="B79" s="32">
        <v>46107</v>
      </c>
      <c r="C79" s="31" t="s">
        <v>171</v>
      </c>
      <c r="D79" s="31" t="s">
        <v>59</v>
      </c>
      <c r="E79" s="33">
        <v>2.75</v>
      </c>
    </row>
    <row r="80" spans="1:5" ht="15" customHeight="1" x14ac:dyDescent="0.3">
      <c r="A80" s="31"/>
      <c r="B80" s="32">
        <v>46108</v>
      </c>
      <c r="C80" s="31" t="s">
        <v>174</v>
      </c>
      <c r="D80" s="31" t="s">
        <v>59</v>
      </c>
      <c r="E80" s="33">
        <v>1.58</v>
      </c>
    </row>
    <row r="81" spans="1:5" ht="15" customHeight="1" x14ac:dyDescent="0.3">
      <c r="A81" s="31"/>
      <c r="B81" s="32">
        <v>46108</v>
      </c>
      <c r="C81" s="31" t="s">
        <v>171</v>
      </c>
      <c r="D81" s="31" t="s">
        <v>59</v>
      </c>
      <c r="E81" s="33">
        <v>1.83</v>
      </c>
    </row>
    <row r="82" spans="1:5" ht="15" customHeight="1" x14ac:dyDescent="0.3">
      <c r="A82" s="31"/>
      <c r="B82" s="32">
        <v>46108</v>
      </c>
      <c r="C82" s="31" t="s">
        <v>177</v>
      </c>
      <c r="D82" s="31" t="s">
        <v>59</v>
      </c>
      <c r="E82" s="33">
        <v>0.33</v>
      </c>
    </row>
    <row r="83" spans="1:5" ht="15" customHeight="1" x14ac:dyDescent="0.3">
      <c r="A83" s="31"/>
      <c r="B83" s="32">
        <v>46111</v>
      </c>
      <c r="C83" s="31" t="s">
        <v>174</v>
      </c>
      <c r="D83" s="31" t="s">
        <v>59</v>
      </c>
      <c r="E83" s="33">
        <v>5</v>
      </c>
    </row>
    <row r="84" spans="1:5" ht="15" customHeight="1" x14ac:dyDescent="0.3">
      <c r="A84" s="31"/>
      <c r="B84" s="32">
        <v>46111</v>
      </c>
      <c r="C84" s="31" t="s">
        <v>174</v>
      </c>
      <c r="D84" s="31" t="s">
        <v>59</v>
      </c>
      <c r="E84" s="33">
        <v>3.25</v>
      </c>
    </row>
    <row r="85" spans="1:5" ht="15" customHeight="1" x14ac:dyDescent="0.3">
      <c r="A85" s="31"/>
      <c r="B85" s="32">
        <v>46111</v>
      </c>
      <c r="C85" s="31" t="s">
        <v>171</v>
      </c>
      <c r="D85" s="31" t="s">
        <v>59</v>
      </c>
      <c r="E85" s="33">
        <v>4.58</v>
      </c>
    </row>
    <row r="86" spans="1:5" ht="15" customHeight="1" x14ac:dyDescent="0.3">
      <c r="A86" s="31"/>
      <c r="B86" s="32">
        <v>46111</v>
      </c>
      <c r="C86" s="31" t="s">
        <v>171</v>
      </c>
      <c r="D86" s="31" t="s">
        <v>59</v>
      </c>
      <c r="E86" s="33">
        <v>3.33</v>
      </c>
    </row>
    <row r="87" spans="1:5" ht="15" customHeight="1" x14ac:dyDescent="0.3">
      <c r="A87" s="31"/>
      <c r="B87" s="32">
        <v>46112</v>
      </c>
      <c r="C87" s="31" t="s">
        <v>174</v>
      </c>
      <c r="D87" s="31" t="s">
        <v>59</v>
      </c>
      <c r="E87" s="33">
        <v>4.67</v>
      </c>
    </row>
    <row r="88" spans="1:5" ht="15" customHeight="1" x14ac:dyDescent="0.3">
      <c r="A88" s="31"/>
      <c r="B88" s="32">
        <v>46112</v>
      </c>
      <c r="C88" s="31" t="s">
        <v>174</v>
      </c>
      <c r="D88" s="31" t="s">
        <v>59</v>
      </c>
      <c r="E88" s="33">
        <v>4.5</v>
      </c>
    </row>
    <row r="89" spans="1:5" ht="15" customHeight="1" x14ac:dyDescent="0.3">
      <c r="A89" s="31"/>
      <c r="B89" s="32">
        <v>46112</v>
      </c>
      <c r="C89" s="31" t="s">
        <v>171</v>
      </c>
      <c r="D89" s="31" t="s">
        <v>59</v>
      </c>
      <c r="E89" s="33">
        <v>4.67</v>
      </c>
    </row>
    <row r="90" spans="1:5" ht="15" customHeight="1" x14ac:dyDescent="0.3">
      <c r="A90" s="31"/>
      <c r="B90" s="32">
        <v>46112</v>
      </c>
      <c r="C90" s="31" t="s">
        <v>171</v>
      </c>
      <c r="D90" s="31" t="s">
        <v>59</v>
      </c>
      <c r="E90" s="33">
        <v>4.33</v>
      </c>
    </row>
    <row r="91" spans="1:5" ht="15" customHeight="1" x14ac:dyDescent="0.3">
      <c r="A91" s="31"/>
      <c r="B91" s="32">
        <v>46113</v>
      </c>
      <c r="C91" s="31" t="s">
        <v>174</v>
      </c>
      <c r="D91" s="31" t="s">
        <v>59</v>
      </c>
      <c r="E91" s="33">
        <v>3.25</v>
      </c>
    </row>
    <row r="92" spans="1:5" ht="15" customHeight="1" x14ac:dyDescent="0.3">
      <c r="A92" s="31"/>
      <c r="B92" s="32">
        <v>46113</v>
      </c>
      <c r="C92" s="31" t="s">
        <v>174</v>
      </c>
      <c r="D92" s="31" t="s">
        <v>59</v>
      </c>
      <c r="E92" s="33">
        <v>1.33</v>
      </c>
    </row>
    <row r="93" spans="1:5" ht="15" customHeight="1" x14ac:dyDescent="0.3">
      <c r="A93" s="31"/>
      <c r="B93" s="32">
        <v>46114</v>
      </c>
      <c r="C93" s="31" t="s">
        <v>174</v>
      </c>
      <c r="D93" s="31" t="s">
        <v>59</v>
      </c>
      <c r="E93" s="33">
        <v>4.42</v>
      </c>
    </row>
    <row r="94" spans="1:5" ht="15" customHeight="1" x14ac:dyDescent="0.3">
      <c r="A94" s="31"/>
      <c r="B94" s="32">
        <v>46114</v>
      </c>
      <c r="C94" s="31" t="s">
        <v>174</v>
      </c>
      <c r="D94" s="31" t="s">
        <v>59</v>
      </c>
      <c r="E94" s="33">
        <v>3.5</v>
      </c>
    </row>
    <row r="95" spans="1:5" ht="15" customHeight="1" x14ac:dyDescent="0.3">
      <c r="A95" s="31"/>
      <c r="B95" s="32">
        <v>46114</v>
      </c>
      <c r="C95" s="31" t="s">
        <v>171</v>
      </c>
      <c r="D95" s="31" t="s">
        <v>59</v>
      </c>
      <c r="E95" s="33">
        <v>4.58</v>
      </c>
    </row>
    <row r="96" spans="1:5" ht="15" customHeight="1" x14ac:dyDescent="0.3">
      <c r="A96" s="31"/>
      <c r="B96" s="32">
        <v>46114</v>
      </c>
      <c r="C96" s="31" t="s">
        <v>171</v>
      </c>
      <c r="D96" s="31" t="s">
        <v>59</v>
      </c>
      <c r="E96" s="33">
        <v>4.17</v>
      </c>
    </row>
    <row r="97" spans="1:5" ht="15" customHeight="1" x14ac:dyDescent="0.3">
      <c r="A97" s="31"/>
      <c r="B97" s="32">
        <v>46118</v>
      </c>
      <c r="C97" s="31" t="s">
        <v>174</v>
      </c>
      <c r="D97" s="31" t="s">
        <v>59</v>
      </c>
      <c r="E97" s="33">
        <v>5.08</v>
      </c>
    </row>
    <row r="98" spans="1:5" ht="15" customHeight="1" x14ac:dyDescent="0.3">
      <c r="A98" s="31"/>
      <c r="B98" s="32">
        <v>46118</v>
      </c>
      <c r="C98" s="31" t="s">
        <v>174</v>
      </c>
      <c r="D98" s="31" t="s">
        <v>59</v>
      </c>
      <c r="E98" s="33">
        <v>4.83</v>
      </c>
    </row>
    <row r="99" spans="1:5" ht="15" customHeight="1" x14ac:dyDescent="0.3">
      <c r="A99" s="31"/>
      <c r="B99" s="32">
        <v>46118</v>
      </c>
      <c r="C99" s="31" t="s">
        <v>171</v>
      </c>
      <c r="D99" s="31" t="s">
        <v>59</v>
      </c>
      <c r="E99" s="33">
        <v>5.08</v>
      </c>
    </row>
    <row r="100" spans="1:5" ht="15" customHeight="1" x14ac:dyDescent="0.3">
      <c r="A100" s="31"/>
      <c r="B100" s="32">
        <v>46118</v>
      </c>
      <c r="C100" s="31" t="s">
        <v>171</v>
      </c>
      <c r="D100" s="31" t="s">
        <v>59</v>
      </c>
      <c r="E100" s="33">
        <v>4.83</v>
      </c>
    </row>
    <row r="101" spans="1:5" ht="15" customHeight="1" x14ac:dyDescent="0.3">
      <c r="A101" s="31"/>
      <c r="B101" s="32">
        <v>46119</v>
      </c>
      <c r="C101" s="31" t="s">
        <v>174</v>
      </c>
      <c r="D101" s="31" t="s">
        <v>59</v>
      </c>
      <c r="E101" s="33">
        <v>5.25</v>
      </c>
    </row>
    <row r="102" spans="1:5" ht="15" customHeight="1" x14ac:dyDescent="0.3">
      <c r="A102" s="31"/>
      <c r="B102" s="32">
        <v>46119</v>
      </c>
      <c r="C102" s="31" t="s">
        <v>174</v>
      </c>
      <c r="D102" s="31" t="s">
        <v>59</v>
      </c>
      <c r="E102" s="33">
        <v>4.75</v>
      </c>
    </row>
    <row r="103" spans="1:5" ht="15" customHeight="1" x14ac:dyDescent="0.3">
      <c r="A103" s="31"/>
      <c r="B103" s="32">
        <v>46119</v>
      </c>
      <c r="C103" s="31" t="s">
        <v>173</v>
      </c>
      <c r="D103" s="31" t="s">
        <v>59</v>
      </c>
      <c r="E103" s="33">
        <v>4.92</v>
      </c>
    </row>
    <row r="104" spans="1:5" ht="15" customHeight="1" x14ac:dyDescent="0.3">
      <c r="A104" s="31"/>
      <c r="B104" s="32">
        <v>46119</v>
      </c>
      <c r="C104" s="31" t="s">
        <v>173</v>
      </c>
      <c r="D104" s="31" t="s">
        <v>59</v>
      </c>
      <c r="E104" s="33">
        <v>4.67</v>
      </c>
    </row>
    <row r="105" spans="1:5" ht="15" customHeight="1" x14ac:dyDescent="0.3">
      <c r="A105" s="31"/>
      <c r="B105" s="32">
        <v>46119</v>
      </c>
      <c r="C105" s="31" t="s">
        <v>171</v>
      </c>
      <c r="D105" s="31" t="s">
        <v>59</v>
      </c>
      <c r="E105" s="33">
        <v>5.17</v>
      </c>
    </row>
    <row r="106" spans="1:5" ht="15" customHeight="1" x14ac:dyDescent="0.3">
      <c r="A106" s="31"/>
      <c r="B106" s="32">
        <v>46119</v>
      </c>
      <c r="C106" s="31" t="s">
        <v>171</v>
      </c>
      <c r="D106" s="31" t="s">
        <v>59</v>
      </c>
      <c r="E106" s="33">
        <v>4.83</v>
      </c>
    </row>
    <row r="107" spans="1:5" ht="15" customHeight="1" x14ac:dyDescent="0.3">
      <c r="A107" s="31"/>
      <c r="B107" s="32">
        <v>46120</v>
      </c>
      <c r="C107" s="31" t="s">
        <v>174</v>
      </c>
      <c r="D107" s="31" t="s">
        <v>59</v>
      </c>
      <c r="E107" s="33">
        <v>5.83</v>
      </c>
    </row>
    <row r="108" spans="1:5" ht="15" customHeight="1" x14ac:dyDescent="0.3">
      <c r="A108" s="31"/>
      <c r="B108" s="32">
        <v>46120</v>
      </c>
      <c r="C108" s="31" t="s">
        <v>174</v>
      </c>
      <c r="D108" s="31" t="s">
        <v>59</v>
      </c>
      <c r="E108" s="33">
        <v>4.17</v>
      </c>
    </row>
    <row r="109" spans="1:5" ht="15" customHeight="1" x14ac:dyDescent="0.3">
      <c r="A109" s="31"/>
      <c r="B109" s="32">
        <v>46120</v>
      </c>
      <c r="C109" s="31" t="s">
        <v>174</v>
      </c>
      <c r="D109" s="31" t="s">
        <v>59</v>
      </c>
      <c r="E109" s="33">
        <v>0.17</v>
      </c>
    </row>
    <row r="110" spans="1:5" ht="15" customHeight="1" x14ac:dyDescent="0.3">
      <c r="A110" s="31"/>
      <c r="B110" s="32">
        <v>46120</v>
      </c>
      <c r="C110" s="31" t="s">
        <v>173</v>
      </c>
      <c r="D110" s="31" t="s">
        <v>59</v>
      </c>
      <c r="E110" s="33">
        <v>0.83</v>
      </c>
    </row>
    <row r="111" spans="1:5" ht="15" customHeight="1" x14ac:dyDescent="0.3">
      <c r="A111" s="31"/>
      <c r="B111" s="32">
        <v>46120</v>
      </c>
      <c r="C111" s="31" t="s">
        <v>173</v>
      </c>
      <c r="D111" s="31" t="s">
        <v>59</v>
      </c>
      <c r="E111" s="33">
        <v>4.08</v>
      </c>
    </row>
    <row r="112" spans="1:5" ht="15" customHeight="1" x14ac:dyDescent="0.3">
      <c r="A112" s="31"/>
      <c r="B112" s="32">
        <v>46120</v>
      </c>
      <c r="C112" s="31" t="s">
        <v>173</v>
      </c>
      <c r="D112" s="31" t="s">
        <v>59</v>
      </c>
      <c r="E112" s="33">
        <v>0.25</v>
      </c>
    </row>
    <row r="113" spans="1:5" ht="15" customHeight="1" x14ac:dyDescent="0.3">
      <c r="A113" s="31"/>
      <c r="B113" s="32">
        <v>46120</v>
      </c>
      <c r="C113" s="31" t="s">
        <v>171</v>
      </c>
      <c r="D113" s="31" t="s">
        <v>59</v>
      </c>
      <c r="E113" s="33">
        <v>1.08</v>
      </c>
    </row>
    <row r="114" spans="1:5" ht="15" customHeight="1" x14ac:dyDescent="0.3">
      <c r="A114" s="31"/>
      <c r="B114" s="32">
        <v>46120</v>
      </c>
      <c r="C114" s="31" t="s">
        <v>171</v>
      </c>
      <c r="D114" s="31" t="s">
        <v>59</v>
      </c>
      <c r="E114" s="33">
        <v>0.25</v>
      </c>
    </row>
    <row r="115" spans="1:5" ht="15" customHeight="1" x14ac:dyDescent="0.3">
      <c r="A115" s="31"/>
      <c r="B115" s="32">
        <v>46121</v>
      </c>
      <c r="C115" s="31" t="s">
        <v>174</v>
      </c>
      <c r="D115" s="31" t="s">
        <v>59</v>
      </c>
      <c r="E115" s="33">
        <v>5.92</v>
      </c>
    </row>
    <row r="116" spans="1:5" ht="15" customHeight="1" x14ac:dyDescent="0.3">
      <c r="A116" s="31"/>
      <c r="B116" s="32">
        <v>46121</v>
      </c>
      <c r="C116" s="31" t="s">
        <v>174</v>
      </c>
      <c r="D116" s="31" t="s">
        <v>59</v>
      </c>
      <c r="E116" s="33">
        <v>3.5</v>
      </c>
    </row>
    <row r="117" spans="1:5" ht="15" customHeight="1" x14ac:dyDescent="0.3">
      <c r="A117" s="31"/>
      <c r="B117" s="32">
        <v>46121</v>
      </c>
      <c r="C117" s="31" t="s">
        <v>171</v>
      </c>
      <c r="D117" s="31" t="s">
        <v>59</v>
      </c>
      <c r="E117" s="33">
        <v>6.08</v>
      </c>
    </row>
    <row r="118" spans="1:5" ht="15" customHeight="1" x14ac:dyDescent="0.3">
      <c r="A118" s="31"/>
      <c r="B118" s="32">
        <v>46121</v>
      </c>
      <c r="C118" s="31" t="s">
        <v>171</v>
      </c>
      <c r="D118" s="31" t="s">
        <v>59</v>
      </c>
      <c r="E118" s="33">
        <v>3.5</v>
      </c>
    </row>
    <row r="119" spans="1:5" ht="15" customHeight="1" x14ac:dyDescent="0.3">
      <c r="A119" s="31"/>
      <c r="B119" s="32">
        <v>46125</v>
      </c>
      <c r="C119" s="31" t="s">
        <v>174</v>
      </c>
      <c r="D119" s="31" t="s">
        <v>59</v>
      </c>
      <c r="E119" s="33">
        <v>6</v>
      </c>
    </row>
    <row r="120" spans="1:5" ht="15" customHeight="1" x14ac:dyDescent="0.3">
      <c r="A120" s="31"/>
      <c r="B120" s="32">
        <v>46125</v>
      </c>
      <c r="C120" s="31" t="s">
        <v>174</v>
      </c>
      <c r="D120" s="31" t="s">
        <v>59</v>
      </c>
      <c r="E120" s="33">
        <v>4</v>
      </c>
    </row>
    <row r="121" spans="1:5" ht="15" customHeight="1" x14ac:dyDescent="0.3">
      <c r="A121" s="31"/>
      <c r="B121" s="32">
        <v>46125</v>
      </c>
      <c r="C121" s="31" t="s">
        <v>173</v>
      </c>
      <c r="D121" s="31" t="s">
        <v>59</v>
      </c>
      <c r="E121" s="33">
        <v>5.75</v>
      </c>
    </row>
    <row r="122" spans="1:5" ht="15" customHeight="1" x14ac:dyDescent="0.3">
      <c r="A122" s="31"/>
      <c r="B122" s="32">
        <v>46125</v>
      </c>
      <c r="C122" s="31" t="s">
        <v>173</v>
      </c>
      <c r="D122" s="31" t="s">
        <v>59</v>
      </c>
      <c r="E122" s="33">
        <v>3.83</v>
      </c>
    </row>
    <row r="123" spans="1:5" ht="15" customHeight="1" x14ac:dyDescent="0.3">
      <c r="A123" s="31"/>
      <c r="B123" s="32">
        <v>46125</v>
      </c>
      <c r="C123" s="31" t="s">
        <v>171</v>
      </c>
      <c r="D123" s="31" t="s">
        <v>59</v>
      </c>
      <c r="E123" s="33">
        <v>6.17</v>
      </c>
    </row>
    <row r="124" spans="1:5" ht="15" customHeight="1" x14ac:dyDescent="0.3">
      <c r="A124" s="31"/>
      <c r="B124" s="32">
        <v>46125</v>
      </c>
      <c r="C124" s="31" t="s">
        <v>171</v>
      </c>
      <c r="D124" s="31" t="s">
        <v>59</v>
      </c>
      <c r="E124" s="33">
        <v>3.83</v>
      </c>
    </row>
    <row r="125" spans="1:5" ht="15" customHeight="1" x14ac:dyDescent="0.3">
      <c r="A125" s="31"/>
      <c r="B125" s="32">
        <v>46125</v>
      </c>
      <c r="C125" s="31" t="s">
        <v>171</v>
      </c>
      <c r="D125" s="31" t="s">
        <v>59</v>
      </c>
      <c r="E125" s="33">
        <v>0.17</v>
      </c>
    </row>
    <row r="126" spans="1:5" ht="15" customHeight="1" x14ac:dyDescent="0.3">
      <c r="A126" s="31"/>
      <c r="B126" s="32">
        <v>46125</v>
      </c>
      <c r="C126" s="31" t="s">
        <v>177</v>
      </c>
      <c r="D126" s="31" t="s">
        <v>59</v>
      </c>
      <c r="E126" s="33">
        <v>1.75</v>
      </c>
    </row>
    <row r="127" spans="1:5" ht="15" customHeight="1" x14ac:dyDescent="0.3">
      <c r="A127" s="31"/>
      <c r="B127" s="32">
        <v>46125</v>
      </c>
      <c r="C127" s="31" t="s">
        <v>177</v>
      </c>
      <c r="D127" s="31" t="s">
        <v>59</v>
      </c>
      <c r="E127" s="33">
        <v>0.08</v>
      </c>
    </row>
    <row r="128" spans="1:5" ht="15" customHeight="1" x14ac:dyDescent="0.3">
      <c r="A128" s="31"/>
      <c r="B128" s="32">
        <v>46126</v>
      </c>
      <c r="C128" s="31" t="s">
        <v>174</v>
      </c>
      <c r="D128" s="31" t="s">
        <v>59</v>
      </c>
      <c r="E128" s="33">
        <v>4.58</v>
      </c>
    </row>
    <row r="129" spans="1:5" ht="15" customHeight="1" x14ac:dyDescent="0.3">
      <c r="A129" s="31"/>
      <c r="B129" s="32">
        <v>46126</v>
      </c>
      <c r="C129" s="31" t="s">
        <v>174</v>
      </c>
      <c r="D129" s="31" t="s">
        <v>59</v>
      </c>
      <c r="E129" s="33">
        <v>5</v>
      </c>
    </row>
    <row r="130" spans="1:5" ht="15" customHeight="1" x14ac:dyDescent="0.3">
      <c r="A130" s="31"/>
      <c r="B130" s="32">
        <v>46126</v>
      </c>
      <c r="C130" s="31" t="s">
        <v>171</v>
      </c>
      <c r="D130" s="31" t="s">
        <v>59</v>
      </c>
      <c r="E130" s="33">
        <v>4.67</v>
      </c>
    </row>
    <row r="131" spans="1:5" ht="15" customHeight="1" x14ac:dyDescent="0.3">
      <c r="A131" s="31"/>
      <c r="B131" s="32">
        <v>46126</v>
      </c>
      <c r="C131" s="31" t="s">
        <v>171</v>
      </c>
      <c r="D131" s="31" t="s">
        <v>59</v>
      </c>
      <c r="E131" s="33">
        <v>5</v>
      </c>
    </row>
    <row r="132" spans="1:5" ht="15" customHeight="1" x14ac:dyDescent="0.3">
      <c r="A132" s="31"/>
      <c r="B132" s="32">
        <v>46126</v>
      </c>
      <c r="C132" s="31" t="s">
        <v>177</v>
      </c>
      <c r="D132" s="31" t="s">
        <v>59</v>
      </c>
      <c r="E132" s="33">
        <v>5.75</v>
      </c>
    </row>
    <row r="133" spans="1:5" ht="15" customHeight="1" x14ac:dyDescent="0.3">
      <c r="A133" s="31"/>
      <c r="B133" s="32">
        <v>46126</v>
      </c>
      <c r="C133" s="31" t="s">
        <v>177</v>
      </c>
      <c r="D133" s="31" t="s">
        <v>59</v>
      </c>
      <c r="E133" s="33">
        <v>0.42</v>
      </c>
    </row>
    <row r="134" spans="1:5" ht="15" customHeight="1" x14ac:dyDescent="0.3">
      <c r="A134" s="31"/>
      <c r="B134" s="32">
        <v>46127</v>
      </c>
      <c r="C134" s="31" t="s">
        <v>174</v>
      </c>
      <c r="D134" s="31" t="s">
        <v>59</v>
      </c>
      <c r="E134" s="33">
        <v>5.33</v>
      </c>
    </row>
    <row r="135" spans="1:5" ht="15" customHeight="1" x14ac:dyDescent="0.3">
      <c r="A135" s="31"/>
      <c r="B135" s="32">
        <v>46127</v>
      </c>
      <c r="C135" s="31" t="s">
        <v>174</v>
      </c>
      <c r="D135" s="31" t="s">
        <v>59</v>
      </c>
      <c r="E135" s="33">
        <v>4.25</v>
      </c>
    </row>
    <row r="136" spans="1:5" ht="15" customHeight="1" x14ac:dyDescent="0.3">
      <c r="A136" s="31"/>
      <c r="B136" s="32">
        <v>46127</v>
      </c>
      <c r="C136" s="31" t="s">
        <v>171</v>
      </c>
      <c r="D136" s="31" t="s">
        <v>59</v>
      </c>
      <c r="E136" s="33">
        <v>4.83</v>
      </c>
    </row>
    <row r="137" spans="1:5" ht="15" customHeight="1" x14ac:dyDescent="0.3">
      <c r="A137" s="31"/>
      <c r="B137" s="32">
        <v>46127</v>
      </c>
      <c r="C137" s="31" t="s">
        <v>171</v>
      </c>
      <c r="D137" s="31" t="s">
        <v>59</v>
      </c>
      <c r="E137" s="33">
        <v>4.75</v>
      </c>
    </row>
    <row r="138" spans="1:5" ht="15" customHeight="1" x14ac:dyDescent="0.3">
      <c r="A138" s="31"/>
      <c r="B138" s="32">
        <v>46127</v>
      </c>
      <c r="C138" s="31" t="s">
        <v>177</v>
      </c>
      <c r="D138" s="31" t="s">
        <v>59</v>
      </c>
      <c r="E138" s="33">
        <v>5.58</v>
      </c>
    </row>
    <row r="139" spans="1:5" ht="15" customHeight="1" x14ac:dyDescent="0.3">
      <c r="A139" s="31"/>
      <c r="B139" s="32">
        <v>46127</v>
      </c>
      <c r="C139" s="31" t="s">
        <v>177</v>
      </c>
      <c r="D139" s="31" t="s">
        <v>59</v>
      </c>
      <c r="E139" s="33">
        <v>4.25</v>
      </c>
    </row>
    <row r="140" spans="1:5" ht="15" customHeight="1" x14ac:dyDescent="0.3">
      <c r="A140" s="31"/>
      <c r="B140" s="32">
        <v>46128</v>
      </c>
      <c r="C140" s="31" t="s">
        <v>174</v>
      </c>
      <c r="D140" s="31" t="s">
        <v>59</v>
      </c>
      <c r="E140" s="33">
        <v>6.67</v>
      </c>
    </row>
    <row r="141" spans="1:5" ht="15" customHeight="1" x14ac:dyDescent="0.3">
      <c r="A141" s="31"/>
      <c r="B141" s="32">
        <v>46128</v>
      </c>
      <c r="C141" s="31" t="s">
        <v>174</v>
      </c>
      <c r="D141" s="31" t="s">
        <v>59</v>
      </c>
      <c r="E141" s="33">
        <v>3.33</v>
      </c>
    </row>
    <row r="142" spans="1:5" ht="15" customHeight="1" x14ac:dyDescent="0.3">
      <c r="A142" s="31"/>
      <c r="B142" s="32">
        <v>46128</v>
      </c>
      <c r="C142" s="31" t="s">
        <v>174</v>
      </c>
      <c r="D142" s="31" t="s">
        <v>59</v>
      </c>
      <c r="E142" s="33">
        <v>0.25</v>
      </c>
    </row>
    <row r="143" spans="1:5" ht="15" customHeight="1" x14ac:dyDescent="0.3">
      <c r="A143" s="31"/>
      <c r="B143" s="32">
        <v>46128</v>
      </c>
      <c r="C143" s="31" t="s">
        <v>171</v>
      </c>
      <c r="D143" s="31" t="s">
        <v>59</v>
      </c>
      <c r="E143" s="33">
        <v>6.17</v>
      </c>
    </row>
    <row r="144" spans="1:5" ht="15" customHeight="1" x14ac:dyDescent="0.3">
      <c r="A144" s="31"/>
      <c r="B144" s="32">
        <v>46128</v>
      </c>
      <c r="C144" s="31" t="s">
        <v>171</v>
      </c>
      <c r="D144" s="31" t="s">
        <v>59</v>
      </c>
      <c r="E144" s="33">
        <v>3.83</v>
      </c>
    </row>
    <row r="145" spans="1:5" ht="15" customHeight="1" x14ac:dyDescent="0.3">
      <c r="A145" s="31"/>
      <c r="B145" s="32">
        <v>46128</v>
      </c>
      <c r="C145" s="31" t="s">
        <v>171</v>
      </c>
      <c r="D145" s="31" t="s">
        <v>59</v>
      </c>
      <c r="E145" s="33">
        <v>0.42</v>
      </c>
    </row>
    <row r="146" spans="1:5" ht="15" customHeight="1" x14ac:dyDescent="0.3">
      <c r="A146" s="31"/>
      <c r="B146" s="32">
        <v>46128</v>
      </c>
      <c r="C146" s="31" t="s">
        <v>177</v>
      </c>
      <c r="D146" s="31" t="s">
        <v>59</v>
      </c>
      <c r="E146" s="33">
        <v>6.25</v>
      </c>
    </row>
    <row r="147" spans="1:5" ht="15" customHeight="1" x14ac:dyDescent="0.3">
      <c r="A147" s="31"/>
      <c r="B147" s="32">
        <v>46128</v>
      </c>
      <c r="C147" s="31" t="s">
        <v>177</v>
      </c>
      <c r="D147" s="31" t="s">
        <v>59</v>
      </c>
      <c r="E147" s="33">
        <v>3.75</v>
      </c>
    </row>
    <row r="148" spans="1:5" ht="15" customHeight="1" x14ac:dyDescent="0.3">
      <c r="A148" s="31"/>
      <c r="B148" s="32">
        <v>46132</v>
      </c>
      <c r="C148" s="31" t="s">
        <v>174</v>
      </c>
      <c r="D148" s="31" t="s">
        <v>59</v>
      </c>
      <c r="E148" s="33">
        <v>6.17</v>
      </c>
    </row>
    <row r="149" spans="1:5" ht="15" customHeight="1" x14ac:dyDescent="0.3">
      <c r="A149" s="31"/>
      <c r="B149" s="32">
        <v>46132</v>
      </c>
      <c r="C149" s="31" t="s">
        <v>174</v>
      </c>
      <c r="D149" s="31" t="s">
        <v>59</v>
      </c>
      <c r="E149" s="33">
        <v>3.58</v>
      </c>
    </row>
    <row r="150" spans="1:5" ht="15" customHeight="1" x14ac:dyDescent="0.3">
      <c r="A150" s="31"/>
      <c r="B150" s="32">
        <v>46132</v>
      </c>
      <c r="C150" s="31" t="s">
        <v>171</v>
      </c>
      <c r="D150" s="31" t="s">
        <v>59</v>
      </c>
      <c r="E150" s="33">
        <v>6</v>
      </c>
    </row>
    <row r="151" spans="1:5" ht="15" customHeight="1" x14ac:dyDescent="0.3">
      <c r="A151" s="31"/>
      <c r="B151" s="32">
        <v>46132</v>
      </c>
      <c r="C151" s="31" t="s">
        <v>171</v>
      </c>
      <c r="D151" s="31" t="s">
        <v>59</v>
      </c>
      <c r="E151" s="33">
        <v>0.67</v>
      </c>
    </row>
    <row r="152" spans="1:5" ht="15" customHeight="1" x14ac:dyDescent="0.3">
      <c r="A152" s="31"/>
      <c r="B152" s="32">
        <v>46132</v>
      </c>
      <c r="C152" s="31" t="s">
        <v>177</v>
      </c>
      <c r="D152" s="31" t="s">
        <v>59</v>
      </c>
      <c r="E152" s="33">
        <v>6.08</v>
      </c>
    </row>
    <row r="153" spans="1:5" ht="15" customHeight="1" x14ac:dyDescent="0.3">
      <c r="A153" s="31"/>
      <c r="B153" s="32">
        <v>46133</v>
      </c>
      <c r="C153" s="31" t="s">
        <v>171</v>
      </c>
      <c r="D153" s="31" t="s">
        <v>59</v>
      </c>
      <c r="E153" s="33">
        <v>0.25</v>
      </c>
    </row>
    <row r="154" spans="1:5" ht="15" customHeight="1" x14ac:dyDescent="0.3">
      <c r="A154" s="31"/>
      <c r="B154" s="32">
        <v>46146</v>
      </c>
      <c r="C154" s="31" t="s">
        <v>171</v>
      </c>
      <c r="D154" s="31" t="s">
        <v>59</v>
      </c>
      <c r="E154" s="33">
        <v>5.17</v>
      </c>
    </row>
    <row r="155" spans="1:5" ht="15" customHeight="1" x14ac:dyDescent="0.3">
      <c r="A155" s="31"/>
      <c r="B155" s="32">
        <v>46146</v>
      </c>
      <c r="C155" s="31" t="s">
        <v>171</v>
      </c>
      <c r="D155" s="31" t="s">
        <v>59</v>
      </c>
      <c r="E155" s="33">
        <v>3.33</v>
      </c>
    </row>
    <row r="156" spans="1:5" ht="15" customHeight="1" x14ac:dyDescent="0.3">
      <c r="A156" s="31"/>
      <c r="B156" s="32">
        <v>46147</v>
      </c>
      <c r="C156" s="31" t="s">
        <v>171</v>
      </c>
      <c r="D156" s="31" t="s">
        <v>59</v>
      </c>
      <c r="E156" s="33">
        <v>10</v>
      </c>
    </row>
    <row r="157" spans="1:5" ht="15" customHeight="1" x14ac:dyDescent="0.3">
      <c r="A157" s="31"/>
      <c r="B157" s="32">
        <v>46147</v>
      </c>
      <c r="C157" s="31" t="s">
        <v>171</v>
      </c>
      <c r="D157" s="31" t="s">
        <v>59</v>
      </c>
      <c r="E157" s="33">
        <v>0.33</v>
      </c>
    </row>
    <row r="158" spans="1:5" ht="15" customHeight="1" x14ac:dyDescent="0.3">
      <c r="A158" s="31"/>
      <c r="B158" s="32">
        <v>46148</v>
      </c>
      <c r="C158" s="31" t="s">
        <v>171</v>
      </c>
      <c r="D158" s="31" t="s">
        <v>59</v>
      </c>
      <c r="E158" s="33">
        <v>5.08</v>
      </c>
    </row>
    <row r="159" spans="1:5" ht="15" customHeight="1" x14ac:dyDescent="0.3">
      <c r="A159" s="31"/>
      <c r="B159" s="32">
        <v>46148</v>
      </c>
      <c r="C159" s="31" t="s">
        <v>171</v>
      </c>
      <c r="D159" s="31" t="s">
        <v>59</v>
      </c>
      <c r="E159" s="33">
        <v>3.75</v>
      </c>
    </row>
    <row r="160" spans="1:5" ht="15" customHeight="1" x14ac:dyDescent="0.3">
      <c r="A160" s="31"/>
      <c r="B160" s="32">
        <v>46149</v>
      </c>
      <c r="C160" s="31" t="s">
        <v>171</v>
      </c>
      <c r="D160" s="31" t="s">
        <v>59</v>
      </c>
      <c r="E160" s="33">
        <v>7.67</v>
      </c>
    </row>
    <row r="161" spans="1:5" ht="15" customHeight="1" x14ac:dyDescent="0.3">
      <c r="A161" s="31"/>
      <c r="B161" s="32">
        <v>46149</v>
      </c>
      <c r="C161" s="31" t="s">
        <v>60</v>
      </c>
      <c r="D161" s="31" t="s">
        <v>59</v>
      </c>
      <c r="E161" s="33">
        <v>8.08</v>
      </c>
    </row>
    <row r="162" spans="1:5" ht="15" customHeight="1" x14ac:dyDescent="0.3">
      <c r="A162" s="31"/>
      <c r="B162" s="32">
        <v>46150</v>
      </c>
      <c r="C162" s="31" t="s">
        <v>178</v>
      </c>
      <c r="D162" s="31" t="s">
        <v>59</v>
      </c>
      <c r="E162" s="33">
        <v>3.25</v>
      </c>
    </row>
    <row r="163" spans="1:5" ht="15" customHeight="1" x14ac:dyDescent="0.3">
      <c r="A163" s="31"/>
      <c r="B163" s="32">
        <v>46150</v>
      </c>
      <c r="C163" s="31" t="s">
        <v>178</v>
      </c>
      <c r="D163" s="31" t="s">
        <v>59</v>
      </c>
      <c r="E163" s="33">
        <v>1.75</v>
      </c>
    </row>
    <row r="164" spans="1:5" ht="15" customHeight="1" x14ac:dyDescent="0.3">
      <c r="A164" s="31"/>
      <c r="B164" s="32">
        <v>46153</v>
      </c>
      <c r="C164" s="31" t="s">
        <v>171</v>
      </c>
      <c r="D164" s="31" t="s">
        <v>59</v>
      </c>
      <c r="E164" s="33">
        <v>6</v>
      </c>
    </row>
    <row r="165" spans="1:5" ht="15" customHeight="1" x14ac:dyDescent="0.3">
      <c r="A165" s="31"/>
      <c r="B165" s="32">
        <v>46153</v>
      </c>
      <c r="C165" s="31" t="s">
        <v>171</v>
      </c>
      <c r="D165" s="31" t="s">
        <v>59</v>
      </c>
      <c r="E165" s="33">
        <v>4</v>
      </c>
    </row>
    <row r="166" spans="1:5" ht="15" customHeight="1" x14ac:dyDescent="0.3">
      <c r="A166" s="31"/>
      <c r="B166" s="32">
        <v>46153</v>
      </c>
      <c r="C166" s="31" t="s">
        <v>171</v>
      </c>
      <c r="D166" s="31" t="s">
        <v>59</v>
      </c>
      <c r="E166" s="33">
        <v>1.17</v>
      </c>
    </row>
    <row r="167" spans="1:5" ht="15" customHeight="1" x14ac:dyDescent="0.3">
      <c r="A167" s="31"/>
      <c r="B167" s="32">
        <v>46154</v>
      </c>
      <c r="C167" s="31" t="s">
        <v>171</v>
      </c>
      <c r="D167" s="31" t="s">
        <v>59</v>
      </c>
      <c r="E167" s="33">
        <v>5.17</v>
      </c>
    </row>
    <row r="168" spans="1:5" ht="15" customHeight="1" x14ac:dyDescent="0.3">
      <c r="A168" s="31"/>
      <c r="B168" s="32">
        <v>46154</v>
      </c>
      <c r="C168" s="31" t="s">
        <v>171</v>
      </c>
      <c r="D168" s="31" t="s">
        <v>59</v>
      </c>
      <c r="E168" s="33">
        <v>4.83</v>
      </c>
    </row>
    <row r="169" spans="1:5" ht="15" customHeight="1" x14ac:dyDescent="0.3">
      <c r="A169" s="31"/>
      <c r="B169" s="32">
        <v>46154</v>
      </c>
      <c r="C169" s="31" t="s">
        <v>171</v>
      </c>
      <c r="D169" s="31" t="s">
        <v>59</v>
      </c>
      <c r="E169" s="33">
        <v>1.17</v>
      </c>
    </row>
    <row r="170" spans="1:5" ht="15" customHeight="1" x14ac:dyDescent="0.3">
      <c r="A170" s="31"/>
      <c r="B170" s="32">
        <v>46154</v>
      </c>
      <c r="C170" s="31" t="s">
        <v>178</v>
      </c>
      <c r="D170" s="31" t="s">
        <v>59</v>
      </c>
      <c r="E170" s="33">
        <v>1.75</v>
      </c>
    </row>
    <row r="171" spans="1:5" ht="15" customHeight="1" x14ac:dyDescent="0.3">
      <c r="A171" s="31"/>
      <c r="B171" s="32">
        <v>46155</v>
      </c>
      <c r="C171" s="31" t="s">
        <v>174</v>
      </c>
      <c r="D171" s="31" t="s">
        <v>59</v>
      </c>
      <c r="E171" s="33">
        <v>5.67</v>
      </c>
    </row>
    <row r="172" spans="1:5" ht="15" customHeight="1" x14ac:dyDescent="0.3">
      <c r="A172" s="31"/>
      <c r="B172" s="32">
        <v>46155</v>
      </c>
      <c r="C172" s="31" t="s">
        <v>174</v>
      </c>
      <c r="D172" s="31" t="s">
        <v>59</v>
      </c>
      <c r="E172" s="33">
        <v>4.33</v>
      </c>
    </row>
    <row r="173" spans="1:5" ht="15" customHeight="1" x14ac:dyDescent="0.3">
      <c r="A173" s="31"/>
      <c r="B173" s="32">
        <v>46155</v>
      </c>
      <c r="C173" s="31" t="s">
        <v>174</v>
      </c>
      <c r="D173" s="31" t="s">
        <v>59</v>
      </c>
      <c r="E173" s="33">
        <v>0.08</v>
      </c>
    </row>
    <row r="174" spans="1:5" ht="15" customHeight="1" x14ac:dyDescent="0.3">
      <c r="A174" s="31"/>
      <c r="B174" s="32">
        <v>46155</v>
      </c>
      <c r="C174" s="31" t="s">
        <v>171</v>
      </c>
      <c r="D174" s="31" t="s">
        <v>59</v>
      </c>
      <c r="E174" s="33">
        <v>5.08</v>
      </c>
    </row>
    <row r="175" spans="1:5" ht="15" customHeight="1" x14ac:dyDescent="0.3">
      <c r="A175" s="31"/>
      <c r="B175" s="32">
        <v>46155</v>
      </c>
      <c r="C175" s="31" t="s">
        <v>171</v>
      </c>
      <c r="D175" s="31" t="s">
        <v>59</v>
      </c>
      <c r="E175" s="33">
        <v>4.58</v>
      </c>
    </row>
    <row r="176" spans="1:5" ht="15" customHeight="1" x14ac:dyDescent="0.3">
      <c r="A176" s="31"/>
      <c r="B176" s="32">
        <v>46155</v>
      </c>
      <c r="C176" s="31" t="s">
        <v>178</v>
      </c>
      <c r="D176" s="31" t="s">
        <v>59</v>
      </c>
      <c r="E176" s="33">
        <v>5.67</v>
      </c>
    </row>
    <row r="177" spans="1:5" ht="15" customHeight="1" x14ac:dyDescent="0.3">
      <c r="A177" s="31"/>
      <c r="B177" s="32">
        <v>46155</v>
      </c>
      <c r="C177" s="31" t="s">
        <v>178</v>
      </c>
      <c r="D177" s="31" t="s">
        <v>59</v>
      </c>
      <c r="E177" s="33">
        <v>4.17</v>
      </c>
    </row>
    <row r="178" spans="1:5" ht="15" customHeight="1" x14ac:dyDescent="0.3">
      <c r="A178" s="31"/>
      <c r="B178" s="32">
        <v>46156</v>
      </c>
      <c r="C178" s="31" t="s">
        <v>174</v>
      </c>
      <c r="D178" s="31" t="s">
        <v>59</v>
      </c>
      <c r="E178" s="33">
        <v>5.33</v>
      </c>
    </row>
    <row r="179" spans="1:5" ht="15" customHeight="1" x14ac:dyDescent="0.3">
      <c r="A179" s="31"/>
      <c r="B179" s="32">
        <v>46156</v>
      </c>
      <c r="C179" s="31" t="s">
        <v>174</v>
      </c>
      <c r="D179" s="31" t="s">
        <v>59</v>
      </c>
      <c r="E179" s="33">
        <v>4.58</v>
      </c>
    </row>
    <row r="180" spans="1:5" ht="15" customHeight="1" x14ac:dyDescent="0.3">
      <c r="A180" s="31"/>
      <c r="B180" s="32">
        <v>46156</v>
      </c>
      <c r="C180" s="31" t="s">
        <v>171</v>
      </c>
      <c r="D180" s="31" t="s">
        <v>59</v>
      </c>
      <c r="E180" s="33">
        <v>9.67</v>
      </c>
    </row>
    <row r="181" spans="1:5" ht="15" customHeight="1" x14ac:dyDescent="0.3">
      <c r="A181" s="31"/>
      <c r="B181" s="32">
        <v>46156</v>
      </c>
      <c r="C181" s="31" t="s">
        <v>178</v>
      </c>
      <c r="D181" s="31" t="s">
        <v>59</v>
      </c>
      <c r="E181" s="33">
        <v>5.33</v>
      </c>
    </row>
    <row r="182" spans="1:5" ht="15" customHeight="1" x14ac:dyDescent="0.3">
      <c r="A182" s="31"/>
      <c r="B182" s="32">
        <v>46156</v>
      </c>
      <c r="C182" s="31" t="s">
        <v>178</v>
      </c>
      <c r="D182" s="31" t="s">
        <v>59</v>
      </c>
      <c r="E182" s="33">
        <v>4.67</v>
      </c>
    </row>
    <row r="183" spans="1:5" ht="15" customHeight="1" x14ac:dyDescent="0.3">
      <c r="A183" s="31"/>
      <c r="B183" s="32">
        <v>46156</v>
      </c>
      <c r="C183" s="31" t="s">
        <v>178</v>
      </c>
      <c r="D183" s="31" t="s">
        <v>59</v>
      </c>
      <c r="E183" s="33">
        <v>0.08</v>
      </c>
    </row>
    <row r="184" spans="1:5" ht="15" customHeight="1" x14ac:dyDescent="0.3">
      <c r="A184" s="31"/>
      <c r="B184" s="32">
        <v>46161</v>
      </c>
      <c r="C184" s="31" t="s">
        <v>171</v>
      </c>
      <c r="D184" s="31" t="s">
        <v>59</v>
      </c>
      <c r="E184" s="33">
        <v>5.33</v>
      </c>
    </row>
    <row r="185" spans="1:5" ht="15" customHeight="1" x14ac:dyDescent="0.3">
      <c r="A185" s="31"/>
      <c r="B185" s="32">
        <v>46161</v>
      </c>
      <c r="C185" s="31" t="s">
        <v>171</v>
      </c>
      <c r="D185" s="31" t="s">
        <v>59</v>
      </c>
      <c r="E185" s="33">
        <v>4.67</v>
      </c>
    </row>
    <row r="186" spans="1:5" ht="15" customHeight="1" x14ac:dyDescent="0.3">
      <c r="A186" s="31"/>
      <c r="B186" s="32">
        <v>46161</v>
      </c>
      <c r="C186" s="31" t="s">
        <v>171</v>
      </c>
      <c r="D186" s="31" t="s">
        <v>59</v>
      </c>
      <c r="E186" s="33">
        <v>0.25</v>
      </c>
    </row>
    <row r="187" spans="1:5" ht="15" customHeight="1" x14ac:dyDescent="0.3">
      <c r="A187" s="31"/>
      <c r="B187" s="32">
        <v>46161</v>
      </c>
      <c r="C187" s="31" t="s">
        <v>178</v>
      </c>
      <c r="D187" s="31" t="s">
        <v>59</v>
      </c>
      <c r="E187" s="33">
        <v>5.17</v>
      </c>
    </row>
    <row r="188" spans="1:5" ht="15" customHeight="1" x14ac:dyDescent="0.3">
      <c r="A188" s="31"/>
      <c r="B188" s="32">
        <v>46161</v>
      </c>
      <c r="C188" s="31" t="s">
        <v>178</v>
      </c>
      <c r="D188" s="31" t="s">
        <v>59</v>
      </c>
      <c r="E188" s="33">
        <v>4.83</v>
      </c>
    </row>
    <row r="189" spans="1:5" ht="15" customHeight="1" x14ac:dyDescent="0.3">
      <c r="A189" s="31"/>
      <c r="B189" s="32">
        <v>46161</v>
      </c>
      <c r="C189" s="31" t="s">
        <v>178</v>
      </c>
      <c r="D189" s="31" t="s">
        <v>59</v>
      </c>
      <c r="E189" s="33">
        <v>0.08</v>
      </c>
    </row>
    <row r="190" spans="1:5" ht="15" customHeight="1" x14ac:dyDescent="0.3">
      <c r="A190" s="31"/>
      <c r="B190" s="32">
        <v>46162</v>
      </c>
      <c r="C190" s="31" t="s">
        <v>174</v>
      </c>
      <c r="D190" s="31" t="s">
        <v>59</v>
      </c>
      <c r="E190" s="33">
        <v>6.08</v>
      </c>
    </row>
    <row r="191" spans="1:5" ht="15" customHeight="1" x14ac:dyDescent="0.3">
      <c r="A191" s="31"/>
      <c r="B191" s="32">
        <v>46162</v>
      </c>
      <c r="C191" s="31" t="s">
        <v>174</v>
      </c>
      <c r="D191" s="31" t="s">
        <v>59</v>
      </c>
      <c r="E191" s="33">
        <v>3.92</v>
      </c>
    </row>
    <row r="192" spans="1:5" ht="15" customHeight="1" x14ac:dyDescent="0.3">
      <c r="A192" s="31"/>
      <c r="B192" s="32">
        <v>46162</v>
      </c>
      <c r="C192" s="31" t="s">
        <v>174</v>
      </c>
      <c r="D192" s="31" t="s">
        <v>59</v>
      </c>
      <c r="E192" s="33">
        <v>0.42</v>
      </c>
    </row>
    <row r="193" spans="1:5" ht="15" customHeight="1" x14ac:dyDescent="0.3">
      <c r="A193" s="31"/>
      <c r="B193" s="32">
        <v>46162</v>
      </c>
      <c r="C193" s="31" t="s">
        <v>171</v>
      </c>
      <c r="D193" s="31" t="s">
        <v>59</v>
      </c>
      <c r="E193" s="33">
        <v>6.08</v>
      </c>
    </row>
    <row r="194" spans="1:5" ht="15" customHeight="1" x14ac:dyDescent="0.3">
      <c r="A194" s="31"/>
      <c r="B194" s="32">
        <v>46162</v>
      </c>
      <c r="C194" s="31" t="s">
        <v>171</v>
      </c>
      <c r="D194" s="31" t="s">
        <v>59</v>
      </c>
      <c r="E194" s="33">
        <v>1</v>
      </c>
    </row>
    <row r="195" spans="1:5" ht="15" customHeight="1" x14ac:dyDescent="0.3">
      <c r="A195" s="31"/>
      <c r="B195" s="32">
        <v>46162</v>
      </c>
      <c r="C195" s="31" t="s">
        <v>171</v>
      </c>
      <c r="D195" s="31" t="s">
        <v>59</v>
      </c>
      <c r="E195" s="33">
        <v>1.5</v>
      </c>
    </row>
    <row r="196" spans="1:5" ht="15" customHeight="1" x14ac:dyDescent="0.3">
      <c r="A196" s="31"/>
      <c r="B196" s="32">
        <v>46162</v>
      </c>
      <c r="C196" s="31" t="s">
        <v>171</v>
      </c>
      <c r="D196" s="31" t="s">
        <v>59</v>
      </c>
      <c r="E196" s="33">
        <v>0.33</v>
      </c>
    </row>
    <row r="197" spans="1:5" ht="15" customHeight="1" x14ac:dyDescent="0.3">
      <c r="A197" s="31"/>
      <c r="B197" s="32">
        <v>46162</v>
      </c>
      <c r="C197" s="31" t="s">
        <v>178</v>
      </c>
      <c r="D197" s="31" t="s">
        <v>59</v>
      </c>
      <c r="E197" s="33">
        <v>5.92</v>
      </c>
    </row>
    <row r="198" spans="1:5" ht="15" customHeight="1" x14ac:dyDescent="0.3">
      <c r="A198" s="31"/>
      <c r="B198" s="32">
        <v>46162</v>
      </c>
      <c r="C198" s="31" t="s">
        <v>178</v>
      </c>
      <c r="D198" s="31" t="s">
        <v>59</v>
      </c>
      <c r="E198" s="33">
        <v>1.42</v>
      </c>
    </row>
    <row r="199" spans="1:5" ht="15" customHeight="1" x14ac:dyDescent="0.3">
      <c r="A199" s="31"/>
      <c r="B199" s="32">
        <v>46162</v>
      </c>
      <c r="C199" s="31" t="s">
        <v>178</v>
      </c>
      <c r="D199" s="31" t="s">
        <v>59</v>
      </c>
      <c r="E199" s="33">
        <v>1.67</v>
      </c>
    </row>
    <row r="200" spans="1:5" ht="15" customHeight="1" x14ac:dyDescent="0.3">
      <c r="A200" s="31"/>
      <c r="B200" s="32">
        <v>46162</v>
      </c>
      <c r="C200" s="31" t="s">
        <v>178</v>
      </c>
      <c r="D200" s="31" t="s">
        <v>59</v>
      </c>
      <c r="E200" s="33">
        <v>0.08</v>
      </c>
    </row>
    <row r="201" spans="1:5" ht="15" customHeight="1" x14ac:dyDescent="0.3">
      <c r="A201" s="31"/>
      <c r="B201" s="32">
        <v>46163</v>
      </c>
      <c r="C201" s="31" t="s">
        <v>171</v>
      </c>
      <c r="D201" s="31" t="s">
        <v>59</v>
      </c>
      <c r="E201" s="33">
        <v>6.58</v>
      </c>
    </row>
    <row r="202" spans="1:5" ht="15" customHeight="1" x14ac:dyDescent="0.3">
      <c r="A202" s="31"/>
      <c r="B202" s="32">
        <v>46163</v>
      </c>
      <c r="C202" s="31" t="s">
        <v>171</v>
      </c>
      <c r="D202" s="31" t="s">
        <v>59</v>
      </c>
      <c r="E202" s="33">
        <v>1.25</v>
      </c>
    </row>
    <row r="203" spans="1:5" ht="15" customHeight="1" x14ac:dyDescent="0.3">
      <c r="A203" s="31"/>
      <c r="B203" s="32">
        <v>46163</v>
      </c>
      <c r="C203" s="31" t="s">
        <v>171</v>
      </c>
      <c r="D203" s="31" t="s">
        <v>59</v>
      </c>
      <c r="E203" s="33">
        <v>0.17</v>
      </c>
    </row>
    <row r="204" spans="1:5" ht="15" customHeight="1" x14ac:dyDescent="0.3">
      <c r="A204" s="31"/>
      <c r="B204" s="32">
        <v>46163</v>
      </c>
      <c r="C204" s="31" t="s">
        <v>178</v>
      </c>
      <c r="D204" s="31" t="s">
        <v>59</v>
      </c>
      <c r="E204" s="33">
        <v>5.92</v>
      </c>
    </row>
    <row r="205" spans="1:5" ht="15" customHeight="1" x14ac:dyDescent="0.3">
      <c r="A205" s="31"/>
      <c r="B205" s="32">
        <v>46163</v>
      </c>
      <c r="C205" s="31" t="s">
        <v>178</v>
      </c>
      <c r="D205" s="31" t="s">
        <v>59</v>
      </c>
      <c r="E205" s="33">
        <v>4.08</v>
      </c>
    </row>
    <row r="206" spans="1:5" ht="15" customHeight="1" x14ac:dyDescent="0.3">
      <c r="A206" s="31"/>
      <c r="B206" s="32">
        <v>46163</v>
      </c>
      <c r="C206" s="31" t="s">
        <v>178</v>
      </c>
      <c r="D206" s="31" t="s">
        <v>59</v>
      </c>
      <c r="E206" s="33">
        <v>0.25</v>
      </c>
    </row>
    <row r="207" spans="1:5" ht="15" customHeight="1" x14ac:dyDescent="0.3">
      <c r="A207" s="31"/>
      <c r="B207" s="32">
        <v>46164</v>
      </c>
      <c r="C207" s="31" t="s">
        <v>174</v>
      </c>
      <c r="D207" s="31" t="s">
        <v>59</v>
      </c>
      <c r="E207" s="33">
        <v>2.83</v>
      </c>
    </row>
    <row r="208" spans="1:5" ht="15" customHeight="1" x14ac:dyDescent="0.3">
      <c r="A208" s="31"/>
      <c r="B208" s="32">
        <v>46164</v>
      </c>
      <c r="C208" s="31" t="s">
        <v>174</v>
      </c>
      <c r="D208" s="31" t="s">
        <v>59</v>
      </c>
      <c r="E208" s="33">
        <v>2</v>
      </c>
    </row>
    <row r="209" spans="1:5" ht="15" customHeight="1" x14ac:dyDescent="0.3">
      <c r="A209" s="31"/>
      <c r="B209" s="32">
        <v>46164</v>
      </c>
      <c r="C209" s="31" t="s">
        <v>179</v>
      </c>
      <c r="D209" s="31" t="s">
        <v>59</v>
      </c>
      <c r="E209" s="33">
        <v>3.92</v>
      </c>
    </row>
    <row r="210" spans="1:5" ht="15" customHeight="1" x14ac:dyDescent="0.3">
      <c r="A210" s="31"/>
      <c r="B210" s="32">
        <v>46164</v>
      </c>
      <c r="C210" s="31" t="s">
        <v>179</v>
      </c>
      <c r="D210" s="31" t="s">
        <v>59</v>
      </c>
      <c r="E210" s="33">
        <v>0</v>
      </c>
    </row>
    <row r="211" spans="1:5" ht="15" customHeight="1" x14ac:dyDescent="0.3">
      <c r="A211" s="31"/>
      <c r="B211" s="32">
        <v>46167</v>
      </c>
      <c r="C211" s="31" t="s">
        <v>178</v>
      </c>
      <c r="D211" s="31" t="s">
        <v>59</v>
      </c>
      <c r="E211" s="33">
        <v>5.42</v>
      </c>
    </row>
    <row r="212" spans="1:5" ht="15" customHeight="1" x14ac:dyDescent="0.3">
      <c r="A212" s="31"/>
      <c r="B212" s="32">
        <v>46167</v>
      </c>
      <c r="C212" s="31" t="s">
        <v>178</v>
      </c>
      <c r="D212" s="31" t="s">
        <v>59</v>
      </c>
      <c r="E212" s="33">
        <v>4.58</v>
      </c>
    </row>
    <row r="213" spans="1:5" ht="15" customHeight="1" x14ac:dyDescent="0.3">
      <c r="A213" s="31"/>
      <c r="B213" s="32">
        <v>46167</v>
      </c>
      <c r="C213" s="31" t="s">
        <v>179</v>
      </c>
      <c r="D213" s="31" t="s">
        <v>59</v>
      </c>
      <c r="E213" s="33">
        <v>6.08</v>
      </c>
    </row>
    <row r="214" spans="1:5" ht="15" customHeight="1" x14ac:dyDescent="0.3">
      <c r="A214" s="31"/>
      <c r="B214" s="32">
        <v>46167</v>
      </c>
      <c r="C214" s="31" t="s">
        <v>179</v>
      </c>
      <c r="D214" s="31" t="s">
        <v>59</v>
      </c>
      <c r="E214" s="33">
        <v>3.92</v>
      </c>
    </row>
    <row r="215" spans="1:5" ht="15" customHeight="1" x14ac:dyDescent="0.3">
      <c r="A215" s="31"/>
      <c r="B215" s="32">
        <v>46167</v>
      </c>
      <c r="C215" s="31" t="s">
        <v>179</v>
      </c>
      <c r="D215" s="31" t="s">
        <v>59</v>
      </c>
      <c r="E215" s="33">
        <v>0.42</v>
      </c>
    </row>
    <row r="216" spans="1:5" ht="15" customHeight="1" x14ac:dyDescent="0.3">
      <c r="A216" s="31"/>
      <c r="B216" s="32">
        <v>46167</v>
      </c>
      <c r="C216" s="31" t="s">
        <v>171</v>
      </c>
      <c r="D216" s="31" t="s">
        <v>59</v>
      </c>
      <c r="E216" s="33">
        <v>5.42</v>
      </c>
    </row>
    <row r="217" spans="1:5" ht="15" customHeight="1" x14ac:dyDescent="0.3">
      <c r="A217" s="31"/>
      <c r="B217" s="32">
        <v>46167</v>
      </c>
      <c r="C217" s="31" t="s">
        <v>171</v>
      </c>
      <c r="D217" s="31" t="s">
        <v>59</v>
      </c>
      <c r="E217" s="33">
        <v>4.58</v>
      </c>
    </row>
    <row r="218" spans="1:5" ht="15" customHeight="1" x14ac:dyDescent="0.3">
      <c r="A218" s="31"/>
      <c r="B218" s="32">
        <v>46167</v>
      </c>
      <c r="C218" s="31" t="s">
        <v>171</v>
      </c>
      <c r="D218" s="31" t="s">
        <v>59</v>
      </c>
      <c r="E218" s="33">
        <v>0.42</v>
      </c>
    </row>
    <row r="219" spans="1:5" ht="15" customHeight="1" x14ac:dyDescent="0.3">
      <c r="A219" s="31"/>
      <c r="B219" s="32">
        <v>46168</v>
      </c>
      <c r="C219" s="31" t="s">
        <v>178</v>
      </c>
      <c r="D219" s="31" t="s">
        <v>59</v>
      </c>
      <c r="E219" s="33">
        <v>5.33</v>
      </c>
    </row>
    <row r="220" spans="1:5" ht="15" customHeight="1" x14ac:dyDescent="0.3">
      <c r="A220" s="31"/>
      <c r="B220" s="32">
        <v>46168</v>
      </c>
      <c r="C220" s="31" t="s">
        <v>178</v>
      </c>
      <c r="D220" s="31" t="s">
        <v>59</v>
      </c>
      <c r="E220" s="33">
        <v>4.67</v>
      </c>
    </row>
    <row r="221" spans="1:5" ht="15" customHeight="1" x14ac:dyDescent="0.3">
      <c r="A221" s="31"/>
      <c r="B221" s="32">
        <v>46168</v>
      </c>
      <c r="C221" s="31" t="s">
        <v>178</v>
      </c>
      <c r="D221" s="31" t="s">
        <v>59</v>
      </c>
      <c r="E221" s="33">
        <v>0.25</v>
      </c>
    </row>
    <row r="222" spans="1:5" ht="15" customHeight="1" x14ac:dyDescent="0.3">
      <c r="A222" s="31"/>
      <c r="B222" s="32">
        <v>46168</v>
      </c>
      <c r="C222" s="31" t="s">
        <v>179</v>
      </c>
      <c r="D222" s="31" t="s">
        <v>59</v>
      </c>
      <c r="E222" s="33">
        <v>5.58</v>
      </c>
    </row>
    <row r="223" spans="1:5" ht="15" customHeight="1" x14ac:dyDescent="0.3">
      <c r="A223" s="31"/>
      <c r="B223" s="32">
        <v>46168</v>
      </c>
      <c r="C223" s="31" t="s">
        <v>179</v>
      </c>
      <c r="D223" s="31" t="s">
        <v>59</v>
      </c>
      <c r="E223" s="33">
        <v>4.33</v>
      </c>
    </row>
    <row r="224" spans="1:5" ht="15" customHeight="1" x14ac:dyDescent="0.3">
      <c r="A224" s="31"/>
      <c r="B224" s="32">
        <v>46168</v>
      </c>
      <c r="C224" s="31" t="s">
        <v>171</v>
      </c>
      <c r="D224" s="31" t="s">
        <v>59</v>
      </c>
      <c r="E224" s="33">
        <v>1</v>
      </c>
    </row>
    <row r="225" spans="1:5" ht="15" customHeight="1" x14ac:dyDescent="0.3">
      <c r="A225" s="31"/>
      <c r="B225" s="32">
        <v>46168</v>
      </c>
      <c r="C225" s="31" t="s">
        <v>171</v>
      </c>
      <c r="D225" s="31" t="s">
        <v>59</v>
      </c>
      <c r="E225" s="33">
        <v>4.08</v>
      </c>
    </row>
    <row r="226" spans="1:5" ht="15" customHeight="1" x14ac:dyDescent="0.3">
      <c r="A226" s="31"/>
      <c r="B226" s="32">
        <v>46168</v>
      </c>
      <c r="C226" s="31" t="s">
        <v>171</v>
      </c>
      <c r="D226" s="31" t="s">
        <v>59</v>
      </c>
      <c r="E226" s="33">
        <v>4.33</v>
      </c>
    </row>
    <row r="227" spans="1:5" ht="15" customHeight="1" x14ac:dyDescent="0.3">
      <c r="A227" s="31"/>
      <c r="B227" s="32">
        <v>46168</v>
      </c>
      <c r="C227" s="31" t="s">
        <v>171</v>
      </c>
      <c r="D227" s="31" t="s">
        <v>59</v>
      </c>
      <c r="E227" s="33">
        <v>0.08</v>
      </c>
    </row>
    <row r="228" spans="1:5" ht="15" customHeight="1" x14ac:dyDescent="0.3">
      <c r="A228" s="31"/>
      <c r="B228" s="32">
        <v>46168</v>
      </c>
      <c r="C228" s="31" t="s">
        <v>60</v>
      </c>
      <c r="D228" s="31" t="s">
        <v>59</v>
      </c>
      <c r="E228" s="33">
        <v>4.75</v>
      </c>
    </row>
    <row r="229" spans="1:5" ht="15" customHeight="1" x14ac:dyDescent="0.3">
      <c r="A229" s="31"/>
      <c r="B229" s="32">
        <v>46168</v>
      </c>
      <c r="C229" s="31" t="s">
        <v>60</v>
      </c>
      <c r="D229" s="31" t="s">
        <v>59</v>
      </c>
      <c r="E229" s="33">
        <v>1.75</v>
      </c>
    </row>
    <row r="230" spans="1:5" ht="15" customHeight="1" x14ac:dyDescent="0.3">
      <c r="A230" s="31"/>
      <c r="B230" s="32">
        <v>46168</v>
      </c>
      <c r="C230" s="31" t="s">
        <v>177</v>
      </c>
      <c r="D230" s="31" t="s">
        <v>59</v>
      </c>
      <c r="E230" s="33">
        <v>5.67</v>
      </c>
    </row>
    <row r="231" spans="1:5" ht="15" customHeight="1" x14ac:dyDescent="0.3">
      <c r="A231" s="31"/>
      <c r="B231" s="32">
        <v>46168</v>
      </c>
      <c r="C231" s="31" t="s">
        <v>177</v>
      </c>
      <c r="D231" s="31" t="s">
        <v>59</v>
      </c>
      <c r="E231" s="33">
        <v>4.08</v>
      </c>
    </row>
    <row r="232" spans="1:5" ht="15" customHeight="1" x14ac:dyDescent="0.3">
      <c r="A232" s="31"/>
      <c r="B232" s="32">
        <v>46169</v>
      </c>
      <c r="C232" s="31" t="s">
        <v>178</v>
      </c>
      <c r="D232" s="31" t="s">
        <v>59</v>
      </c>
      <c r="E232" s="33">
        <v>5.75</v>
      </c>
    </row>
    <row r="233" spans="1:5" ht="15" customHeight="1" x14ac:dyDescent="0.3">
      <c r="A233" s="31"/>
      <c r="B233" s="32">
        <v>46169</v>
      </c>
      <c r="C233" s="31" t="s">
        <v>178</v>
      </c>
      <c r="D233" s="31" t="s">
        <v>59</v>
      </c>
      <c r="E233" s="33">
        <v>4.25</v>
      </c>
    </row>
    <row r="234" spans="1:5" ht="15" customHeight="1" x14ac:dyDescent="0.3">
      <c r="A234" s="31"/>
      <c r="B234" s="32">
        <v>46169</v>
      </c>
      <c r="C234" s="31" t="s">
        <v>178</v>
      </c>
      <c r="D234" s="31" t="s">
        <v>59</v>
      </c>
      <c r="E234" s="33">
        <v>0.08</v>
      </c>
    </row>
    <row r="235" spans="1:5" ht="15" customHeight="1" x14ac:dyDescent="0.3">
      <c r="A235" s="31"/>
      <c r="B235" s="32">
        <v>46169</v>
      </c>
      <c r="C235" s="31" t="s">
        <v>179</v>
      </c>
      <c r="D235" s="31" t="s">
        <v>59</v>
      </c>
      <c r="E235" s="33">
        <v>6.17</v>
      </c>
    </row>
    <row r="236" spans="1:5" ht="15" customHeight="1" x14ac:dyDescent="0.3">
      <c r="A236" s="31"/>
      <c r="B236" s="32">
        <v>46169</v>
      </c>
      <c r="C236" s="31" t="s">
        <v>179</v>
      </c>
      <c r="D236" s="31" t="s">
        <v>59</v>
      </c>
      <c r="E236" s="33">
        <v>3.83</v>
      </c>
    </row>
    <row r="237" spans="1:5" ht="15" customHeight="1" x14ac:dyDescent="0.3">
      <c r="A237" s="31"/>
      <c r="B237" s="32">
        <v>46169</v>
      </c>
      <c r="C237" s="31" t="s">
        <v>179</v>
      </c>
      <c r="D237" s="31" t="s">
        <v>59</v>
      </c>
      <c r="E237" s="33">
        <v>0.17</v>
      </c>
    </row>
    <row r="238" spans="1:5" ht="15" customHeight="1" x14ac:dyDescent="0.3">
      <c r="A238" s="31"/>
      <c r="B238" s="32">
        <v>46169</v>
      </c>
      <c r="C238" s="31" t="s">
        <v>171</v>
      </c>
      <c r="D238" s="31" t="s">
        <v>59</v>
      </c>
      <c r="E238" s="33">
        <v>3.08</v>
      </c>
    </row>
    <row r="239" spans="1:5" ht="15" customHeight="1" x14ac:dyDescent="0.3">
      <c r="A239" s="31"/>
      <c r="B239" s="32">
        <v>46169</v>
      </c>
      <c r="C239" s="31" t="s">
        <v>171</v>
      </c>
      <c r="D239" s="31" t="s">
        <v>59</v>
      </c>
      <c r="E239" s="33">
        <v>2.92</v>
      </c>
    </row>
    <row r="240" spans="1:5" ht="15" customHeight="1" x14ac:dyDescent="0.3">
      <c r="A240" s="31"/>
      <c r="B240" s="32">
        <v>46169</v>
      </c>
      <c r="C240" s="31" t="s">
        <v>171</v>
      </c>
      <c r="D240" s="31" t="s">
        <v>59</v>
      </c>
      <c r="E240" s="33">
        <v>4</v>
      </c>
    </row>
    <row r="241" spans="1:5" ht="15" customHeight="1" x14ac:dyDescent="0.3">
      <c r="A241" s="31"/>
      <c r="B241" s="32">
        <v>46169</v>
      </c>
      <c r="C241" s="31" t="s">
        <v>171</v>
      </c>
      <c r="D241" s="31" t="s">
        <v>59</v>
      </c>
      <c r="E241" s="33">
        <v>0.17</v>
      </c>
    </row>
    <row r="242" spans="1:5" ht="15" customHeight="1" x14ac:dyDescent="0.3">
      <c r="A242" s="31"/>
      <c r="B242" s="32">
        <v>46169</v>
      </c>
      <c r="C242" s="31" t="s">
        <v>60</v>
      </c>
      <c r="D242" s="31" t="s">
        <v>59</v>
      </c>
      <c r="E242" s="33">
        <v>2.25</v>
      </c>
    </row>
    <row r="243" spans="1:5" ht="15" customHeight="1" x14ac:dyDescent="0.3">
      <c r="A243" s="31"/>
      <c r="B243" s="32">
        <v>46169</v>
      </c>
      <c r="C243" s="31" t="s">
        <v>177</v>
      </c>
      <c r="D243" s="31" t="s">
        <v>59</v>
      </c>
      <c r="E243" s="33">
        <v>6.17</v>
      </c>
    </row>
    <row r="244" spans="1:5" ht="15" customHeight="1" x14ac:dyDescent="0.3">
      <c r="A244" s="31"/>
      <c r="B244" s="32">
        <v>46169</v>
      </c>
      <c r="C244" s="31" t="s">
        <v>177</v>
      </c>
      <c r="D244" s="31" t="s">
        <v>59</v>
      </c>
      <c r="E244" s="33">
        <v>3.83</v>
      </c>
    </row>
    <row r="245" spans="1:5" ht="15" customHeight="1" x14ac:dyDescent="0.3">
      <c r="A245" s="31"/>
      <c r="B245" s="32">
        <v>46169</v>
      </c>
      <c r="C245" s="31" t="s">
        <v>177</v>
      </c>
      <c r="D245" s="31" t="s">
        <v>59</v>
      </c>
      <c r="E245" s="33">
        <v>0.08</v>
      </c>
    </row>
    <row r="246" spans="1:5" ht="15" customHeight="1" x14ac:dyDescent="0.3">
      <c r="A246" s="31"/>
      <c r="B246" s="32">
        <v>46170</v>
      </c>
      <c r="C246" s="31" t="s">
        <v>178</v>
      </c>
      <c r="D246" s="31" t="s">
        <v>59</v>
      </c>
      <c r="E246" s="33">
        <v>1.42</v>
      </c>
    </row>
    <row r="247" spans="1:5" ht="15" customHeight="1" x14ac:dyDescent="0.3">
      <c r="A247" s="31"/>
      <c r="B247" s="32">
        <v>46170</v>
      </c>
      <c r="C247" s="31" t="s">
        <v>179</v>
      </c>
      <c r="D247" s="31" t="s">
        <v>59</v>
      </c>
      <c r="E247" s="33">
        <v>5.83</v>
      </c>
    </row>
    <row r="248" spans="1:5" ht="15" customHeight="1" x14ac:dyDescent="0.3">
      <c r="A248" s="31"/>
      <c r="B248" s="32">
        <v>46170</v>
      </c>
      <c r="C248" s="31" t="s">
        <v>179</v>
      </c>
      <c r="D248" s="31" t="s">
        <v>59</v>
      </c>
      <c r="E248" s="33">
        <v>3.92</v>
      </c>
    </row>
    <row r="249" spans="1:5" ht="15" customHeight="1" x14ac:dyDescent="0.3">
      <c r="A249" s="31"/>
      <c r="B249" s="32">
        <v>46170</v>
      </c>
      <c r="C249" s="31" t="s">
        <v>171</v>
      </c>
      <c r="D249" s="31" t="s">
        <v>59</v>
      </c>
      <c r="E249" s="33">
        <v>6.25</v>
      </c>
    </row>
    <row r="250" spans="1:5" ht="15" customHeight="1" x14ac:dyDescent="0.3">
      <c r="A250" s="31"/>
      <c r="B250" s="32">
        <v>46170</v>
      </c>
      <c r="C250" s="31" t="s">
        <v>171</v>
      </c>
      <c r="D250" s="31" t="s">
        <v>59</v>
      </c>
      <c r="E250" s="33">
        <v>3.75</v>
      </c>
    </row>
    <row r="251" spans="1:5" ht="15" customHeight="1" x14ac:dyDescent="0.3">
      <c r="A251" s="31"/>
      <c r="B251" s="32">
        <v>46170</v>
      </c>
      <c r="C251" s="31" t="s">
        <v>177</v>
      </c>
      <c r="D251" s="31" t="s">
        <v>59</v>
      </c>
      <c r="E251" s="33">
        <v>5.33</v>
      </c>
    </row>
    <row r="252" spans="1:5" ht="15" customHeight="1" x14ac:dyDescent="0.3">
      <c r="A252" s="31"/>
      <c r="B252" s="32">
        <v>46170</v>
      </c>
      <c r="C252" s="31" t="s">
        <v>177</v>
      </c>
      <c r="D252" s="31" t="s">
        <v>59</v>
      </c>
      <c r="E252" s="33">
        <v>4.17</v>
      </c>
    </row>
    <row r="253" spans="1:5" ht="15" customHeight="1" x14ac:dyDescent="0.3">
      <c r="A253" s="31"/>
      <c r="B253" s="32">
        <v>46171</v>
      </c>
      <c r="C253" s="31" t="s">
        <v>179</v>
      </c>
      <c r="D253" s="31" t="s">
        <v>59</v>
      </c>
      <c r="E253" s="33">
        <v>0.33</v>
      </c>
    </row>
    <row r="254" spans="1:5" ht="15" customHeight="1" x14ac:dyDescent="0.3">
      <c r="A254" s="31"/>
      <c r="B254" s="32">
        <v>46171</v>
      </c>
      <c r="C254" s="31" t="s">
        <v>179</v>
      </c>
      <c r="D254" s="31" t="s">
        <v>59</v>
      </c>
      <c r="E254" s="33">
        <v>5.08</v>
      </c>
    </row>
    <row r="255" spans="1:5" ht="15" customHeight="1" x14ac:dyDescent="0.3">
      <c r="A255" s="31"/>
      <c r="B255" s="32">
        <v>46171</v>
      </c>
      <c r="C255" s="31" t="s">
        <v>179</v>
      </c>
      <c r="D255" s="31" t="s">
        <v>59</v>
      </c>
      <c r="E255" s="33">
        <v>4.08</v>
      </c>
    </row>
    <row r="256" spans="1:5" ht="15" customHeight="1" x14ac:dyDescent="0.3">
      <c r="A256" s="31"/>
      <c r="B256" s="32">
        <v>46174</v>
      </c>
      <c r="C256" s="31" t="s">
        <v>179</v>
      </c>
      <c r="D256" s="31" t="s">
        <v>59</v>
      </c>
      <c r="E256" s="33">
        <v>5.83</v>
      </c>
    </row>
    <row r="257" spans="1:5" ht="15" customHeight="1" x14ac:dyDescent="0.3">
      <c r="A257" s="31"/>
      <c r="B257" s="32">
        <v>46174</v>
      </c>
      <c r="C257" s="31" t="s">
        <v>179</v>
      </c>
      <c r="D257" s="31" t="s">
        <v>59</v>
      </c>
      <c r="E257" s="33">
        <v>0</v>
      </c>
    </row>
    <row r="258" spans="1:5" ht="15" customHeight="1" x14ac:dyDescent="0.3">
      <c r="A258" s="31"/>
      <c r="B258" s="32">
        <v>46174</v>
      </c>
      <c r="C258" s="31" t="s">
        <v>179</v>
      </c>
      <c r="D258" s="31" t="s">
        <v>59</v>
      </c>
      <c r="E258" s="33">
        <v>4.17</v>
      </c>
    </row>
    <row r="259" spans="1:5" ht="15" customHeight="1" x14ac:dyDescent="0.3">
      <c r="A259" s="31"/>
      <c r="B259" s="32">
        <v>46174</v>
      </c>
      <c r="C259" s="31" t="s">
        <v>179</v>
      </c>
      <c r="D259" s="31" t="s">
        <v>59</v>
      </c>
      <c r="E259" s="33">
        <v>0.08</v>
      </c>
    </row>
    <row r="260" spans="1:5" ht="15" customHeight="1" x14ac:dyDescent="0.3">
      <c r="A260" s="31"/>
      <c r="B260" s="32">
        <v>46174</v>
      </c>
      <c r="C260" s="31" t="s">
        <v>178</v>
      </c>
      <c r="D260" s="31" t="s">
        <v>59</v>
      </c>
      <c r="E260" s="33">
        <v>5.75</v>
      </c>
    </row>
    <row r="261" spans="1:5" ht="15" customHeight="1" x14ac:dyDescent="0.3">
      <c r="A261" s="31"/>
      <c r="B261" s="32">
        <v>46174</v>
      </c>
      <c r="C261" s="31" t="s">
        <v>178</v>
      </c>
      <c r="D261" s="31" t="s">
        <v>59</v>
      </c>
      <c r="E261" s="33">
        <v>0.5</v>
      </c>
    </row>
    <row r="262" spans="1:5" ht="15" customHeight="1" x14ac:dyDescent="0.3">
      <c r="A262" s="31"/>
      <c r="B262" s="32">
        <v>46174</v>
      </c>
      <c r="C262" s="31" t="s">
        <v>178</v>
      </c>
      <c r="D262" s="31" t="s">
        <v>59</v>
      </c>
      <c r="E262" s="33">
        <v>0.75</v>
      </c>
    </row>
    <row r="263" spans="1:5" ht="15" customHeight="1" x14ac:dyDescent="0.3">
      <c r="A263" s="31"/>
      <c r="B263" s="32">
        <v>46174</v>
      </c>
      <c r="C263" s="31" t="s">
        <v>178</v>
      </c>
      <c r="D263" s="31" t="s">
        <v>59</v>
      </c>
      <c r="E263" s="33">
        <v>0.08</v>
      </c>
    </row>
    <row r="264" spans="1:5" ht="15" customHeight="1" x14ac:dyDescent="0.3">
      <c r="A264" s="31"/>
      <c r="B264" s="32">
        <v>46174</v>
      </c>
      <c r="C264" s="31" t="s">
        <v>177</v>
      </c>
      <c r="D264" s="31" t="s">
        <v>59</v>
      </c>
      <c r="E264" s="33">
        <v>5.42</v>
      </c>
    </row>
    <row r="265" spans="1:5" ht="15" customHeight="1" x14ac:dyDescent="0.3">
      <c r="A265" s="31"/>
      <c r="B265" s="32">
        <v>46174</v>
      </c>
      <c r="C265" s="31" t="s">
        <v>177</v>
      </c>
      <c r="D265" s="31" t="s">
        <v>59</v>
      </c>
      <c r="E265" s="33">
        <v>4.58</v>
      </c>
    </row>
    <row r="266" spans="1:5" ht="15" customHeight="1" x14ac:dyDescent="0.3">
      <c r="A266" s="31"/>
      <c r="B266" s="32">
        <v>46175</v>
      </c>
      <c r="C266" s="31" t="s">
        <v>179</v>
      </c>
      <c r="D266" s="31" t="s">
        <v>59</v>
      </c>
      <c r="E266" s="33">
        <v>5.58</v>
      </c>
    </row>
    <row r="267" spans="1:5" ht="15" customHeight="1" x14ac:dyDescent="0.3">
      <c r="A267" s="31"/>
      <c r="B267" s="32">
        <v>46175</v>
      </c>
      <c r="C267" s="31" t="s">
        <v>179</v>
      </c>
      <c r="D267" s="31" t="s">
        <v>59</v>
      </c>
      <c r="E267" s="33">
        <v>4.42</v>
      </c>
    </row>
    <row r="268" spans="1:5" ht="15" customHeight="1" x14ac:dyDescent="0.3">
      <c r="A268" s="31"/>
      <c r="B268" s="32">
        <v>46175</v>
      </c>
      <c r="C268" s="31" t="s">
        <v>179</v>
      </c>
      <c r="D268" s="31" t="s">
        <v>59</v>
      </c>
      <c r="E268" s="33">
        <v>0.25</v>
      </c>
    </row>
    <row r="269" spans="1:5" ht="15" customHeight="1" x14ac:dyDescent="0.3">
      <c r="A269" s="31"/>
      <c r="B269" s="32">
        <v>46175</v>
      </c>
      <c r="C269" s="31" t="s">
        <v>179</v>
      </c>
      <c r="D269" s="31" t="s">
        <v>59</v>
      </c>
      <c r="E269" s="33">
        <v>0</v>
      </c>
    </row>
    <row r="270" spans="1:5" ht="15" customHeight="1" x14ac:dyDescent="0.3">
      <c r="A270" s="31"/>
      <c r="B270" s="32">
        <v>46175</v>
      </c>
      <c r="C270" s="31" t="s">
        <v>171</v>
      </c>
      <c r="D270" s="31" t="s">
        <v>59</v>
      </c>
      <c r="E270" s="33">
        <v>5.42</v>
      </c>
    </row>
    <row r="271" spans="1:5" ht="15" customHeight="1" x14ac:dyDescent="0.3">
      <c r="A271" s="31"/>
      <c r="B271" s="32">
        <v>46175</v>
      </c>
      <c r="C271" s="31" t="s">
        <v>171</v>
      </c>
      <c r="D271" s="31" t="s">
        <v>59</v>
      </c>
      <c r="E271" s="33">
        <v>4.58</v>
      </c>
    </row>
    <row r="272" spans="1:5" ht="15" customHeight="1" x14ac:dyDescent="0.3">
      <c r="A272" s="31"/>
      <c r="B272" s="32">
        <v>46175</v>
      </c>
      <c r="C272" s="31" t="s">
        <v>171</v>
      </c>
      <c r="D272" s="31" t="s">
        <v>59</v>
      </c>
      <c r="E272" s="33">
        <v>0.42</v>
      </c>
    </row>
    <row r="273" spans="1:5" ht="15" customHeight="1" x14ac:dyDescent="0.3">
      <c r="A273" s="31"/>
      <c r="B273" s="32">
        <v>46175</v>
      </c>
      <c r="C273" s="31" t="s">
        <v>177</v>
      </c>
      <c r="D273" s="31" t="s">
        <v>59</v>
      </c>
      <c r="E273" s="33">
        <v>5.5</v>
      </c>
    </row>
    <row r="274" spans="1:5" ht="15" customHeight="1" x14ac:dyDescent="0.3">
      <c r="A274" s="31"/>
      <c r="B274" s="32">
        <v>46175</v>
      </c>
      <c r="C274" s="31" t="s">
        <v>177</v>
      </c>
      <c r="D274" s="31" t="s">
        <v>59</v>
      </c>
      <c r="E274" s="33">
        <v>3.58</v>
      </c>
    </row>
    <row r="275" spans="1:5" ht="15" customHeight="1" x14ac:dyDescent="0.3">
      <c r="A275" s="31"/>
      <c r="B275" s="32">
        <v>46176</v>
      </c>
      <c r="C275" s="31" t="s">
        <v>179</v>
      </c>
      <c r="D275" s="31" t="s">
        <v>59</v>
      </c>
      <c r="E275" s="33">
        <v>5.58</v>
      </c>
    </row>
    <row r="276" spans="1:5" ht="15" customHeight="1" x14ac:dyDescent="0.3">
      <c r="A276" s="31"/>
      <c r="B276" s="32">
        <v>46176</v>
      </c>
      <c r="C276" s="31" t="s">
        <v>179</v>
      </c>
      <c r="D276" s="31" t="s">
        <v>59</v>
      </c>
      <c r="E276" s="33">
        <v>4.42</v>
      </c>
    </row>
    <row r="277" spans="1:5" ht="15" customHeight="1" x14ac:dyDescent="0.3">
      <c r="A277" s="31"/>
      <c r="B277" s="32">
        <v>46176</v>
      </c>
      <c r="C277" s="31" t="s">
        <v>171</v>
      </c>
      <c r="D277" s="31" t="s">
        <v>59</v>
      </c>
      <c r="E277" s="33">
        <v>6.08</v>
      </c>
    </row>
    <row r="278" spans="1:5" ht="15" customHeight="1" x14ac:dyDescent="0.3">
      <c r="A278" s="31"/>
      <c r="B278" s="32">
        <v>46176</v>
      </c>
      <c r="C278" s="31" t="s">
        <v>171</v>
      </c>
      <c r="D278" s="31" t="s">
        <v>59</v>
      </c>
      <c r="E278" s="33">
        <v>3.92</v>
      </c>
    </row>
    <row r="279" spans="1:5" ht="15" customHeight="1" x14ac:dyDescent="0.3">
      <c r="A279" s="31"/>
      <c r="B279" s="32">
        <v>46176</v>
      </c>
      <c r="C279" s="31" t="s">
        <v>171</v>
      </c>
      <c r="D279" s="31" t="s">
        <v>59</v>
      </c>
      <c r="E279" s="33">
        <v>0.17</v>
      </c>
    </row>
    <row r="280" spans="1:5" ht="15" customHeight="1" x14ac:dyDescent="0.3">
      <c r="A280" s="31"/>
      <c r="B280" s="32">
        <v>46176</v>
      </c>
      <c r="C280" s="31" t="s">
        <v>177</v>
      </c>
      <c r="D280" s="31" t="s">
        <v>59</v>
      </c>
      <c r="E280" s="33">
        <v>5.42</v>
      </c>
    </row>
    <row r="281" spans="1:5" ht="15" customHeight="1" x14ac:dyDescent="0.3">
      <c r="A281" s="31"/>
      <c r="B281" s="32">
        <v>46176</v>
      </c>
      <c r="C281" s="31" t="s">
        <v>177</v>
      </c>
      <c r="D281" s="31" t="s">
        <v>59</v>
      </c>
      <c r="E281" s="33">
        <v>4.25</v>
      </c>
    </row>
    <row r="282" spans="1:5" ht="15" customHeight="1" x14ac:dyDescent="0.3">
      <c r="A282" s="31"/>
      <c r="B282" s="32">
        <v>46177</v>
      </c>
      <c r="C282" s="31" t="s">
        <v>179</v>
      </c>
      <c r="D282" s="31" t="s">
        <v>59</v>
      </c>
      <c r="E282" s="33">
        <v>10</v>
      </c>
    </row>
    <row r="283" spans="1:5" ht="15" customHeight="1" x14ac:dyDescent="0.3">
      <c r="A283" s="31"/>
      <c r="B283" s="32">
        <v>46177</v>
      </c>
      <c r="C283" s="31" t="s">
        <v>179</v>
      </c>
      <c r="D283" s="31" t="s">
        <v>59</v>
      </c>
      <c r="E283" s="33">
        <v>0.25</v>
      </c>
    </row>
    <row r="284" spans="1:5" ht="15" customHeight="1" x14ac:dyDescent="0.3">
      <c r="A284" s="31"/>
      <c r="B284" s="32">
        <v>46177</v>
      </c>
      <c r="C284" s="31" t="s">
        <v>171</v>
      </c>
      <c r="D284" s="31" t="s">
        <v>59</v>
      </c>
      <c r="E284" s="33">
        <v>10</v>
      </c>
    </row>
    <row r="285" spans="1:5" ht="15" customHeight="1" x14ac:dyDescent="0.3">
      <c r="A285" s="31"/>
      <c r="B285" s="32">
        <v>46177</v>
      </c>
      <c r="C285" s="31" t="s">
        <v>171</v>
      </c>
      <c r="D285" s="31" t="s">
        <v>59</v>
      </c>
      <c r="E285" s="33">
        <v>0.57999999999999996</v>
      </c>
    </row>
    <row r="286" spans="1:5" ht="15" customHeight="1" x14ac:dyDescent="0.3">
      <c r="A286" s="31"/>
      <c r="B286" s="32">
        <v>46177</v>
      </c>
      <c r="C286" s="31" t="s">
        <v>177</v>
      </c>
      <c r="D286" s="31" t="s">
        <v>59</v>
      </c>
      <c r="E286" s="33">
        <v>5.33</v>
      </c>
    </row>
    <row r="287" spans="1:5" ht="15" customHeight="1" x14ac:dyDescent="0.3">
      <c r="A287" s="31"/>
      <c r="B287" s="32">
        <v>46177</v>
      </c>
      <c r="C287" s="31" t="s">
        <v>177</v>
      </c>
      <c r="D287" s="31" t="s">
        <v>59</v>
      </c>
      <c r="E287" s="33">
        <v>4.42</v>
      </c>
    </row>
    <row r="288" spans="1:5" ht="15" customHeight="1" x14ac:dyDescent="0.3">
      <c r="A288" s="31"/>
      <c r="B288" s="32">
        <v>46178</v>
      </c>
      <c r="C288" s="31" t="s">
        <v>179</v>
      </c>
      <c r="D288" s="31" t="s">
        <v>59</v>
      </c>
      <c r="E288" s="33">
        <v>10</v>
      </c>
    </row>
    <row r="289" spans="1:5" ht="15" customHeight="1" x14ac:dyDescent="0.3">
      <c r="A289" s="31"/>
      <c r="B289" s="32">
        <v>46178</v>
      </c>
      <c r="C289" s="31" t="s">
        <v>179</v>
      </c>
      <c r="D289" s="31" t="s">
        <v>59</v>
      </c>
      <c r="E289" s="33">
        <v>0.57999999999999996</v>
      </c>
    </row>
    <row r="290" spans="1:5" ht="15" customHeight="1" x14ac:dyDescent="0.3">
      <c r="A290" s="31"/>
      <c r="B290" s="32">
        <v>46179</v>
      </c>
      <c r="C290" s="31" t="s">
        <v>179</v>
      </c>
      <c r="D290" s="31" t="s">
        <v>59</v>
      </c>
      <c r="E290" s="33">
        <v>9.58</v>
      </c>
    </row>
    <row r="291" spans="1:5" ht="15" customHeight="1" x14ac:dyDescent="0.3">
      <c r="A291" s="31"/>
      <c r="B291" s="32">
        <v>46181</v>
      </c>
      <c r="C291" s="31" t="s">
        <v>177</v>
      </c>
      <c r="D291" s="31" t="s">
        <v>59</v>
      </c>
      <c r="E291" s="33">
        <v>5.92</v>
      </c>
    </row>
    <row r="292" spans="1:5" ht="15" customHeight="1" x14ac:dyDescent="0.3">
      <c r="A292" s="31"/>
      <c r="B292" s="32">
        <v>46181</v>
      </c>
      <c r="C292" s="31" t="s">
        <v>177</v>
      </c>
      <c r="D292" s="31" t="s">
        <v>59</v>
      </c>
      <c r="E292" s="33">
        <v>0</v>
      </c>
    </row>
    <row r="293" spans="1:5" ht="15" customHeight="1" x14ac:dyDescent="0.3">
      <c r="A293" s="31"/>
      <c r="B293" s="32">
        <v>46181</v>
      </c>
      <c r="C293" s="31" t="s">
        <v>177</v>
      </c>
      <c r="D293" s="31" t="s">
        <v>59</v>
      </c>
      <c r="E293" s="33">
        <v>3.83</v>
      </c>
    </row>
    <row r="294" spans="1:5" ht="15" customHeight="1" x14ac:dyDescent="0.3">
      <c r="A294" s="31"/>
      <c r="B294" s="32">
        <v>46182</v>
      </c>
      <c r="C294" s="31" t="s">
        <v>179</v>
      </c>
      <c r="D294" s="31" t="s">
        <v>59</v>
      </c>
      <c r="E294" s="33">
        <v>7.75</v>
      </c>
    </row>
    <row r="295" spans="1:5" ht="15" customHeight="1" x14ac:dyDescent="0.3">
      <c r="A295" s="31"/>
      <c r="B295" s="32">
        <v>46182</v>
      </c>
      <c r="C295" s="31" t="s">
        <v>171</v>
      </c>
      <c r="D295" s="31" t="s">
        <v>59</v>
      </c>
      <c r="E295" s="33">
        <v>5.92</v>
      </c>
    </row>
    <row r="296" spans="1:5" ht="15" customHeight="1" x14ac:dyDescent="0.3">
      <c r="A296" s="31"/>
      <c r="B296" s="32">
        <v>46182</v>
      </c>
      <c r="C296" s="31" t="s">
        <v>171</v>
      </c>
      <c r="D296" s="31" t="s">
        <v>59</v>
      </c>
      <c r="E296" s="33">
        <v>4.08</v>
      </c>
    </row>
    <row r="297" spans="1:5" ht="15" customHeight="1" x14ac:dyDescent="0.3">
      <c r="A297" s="31"/>
      <c r="B297" s="32">
        <v>46182</v>
      </c>
      <c r="C297" s="31" t="s">
        <v>171</v>
      </c>
      <c r="D297" s="31" t="s">
        <v>59</v>
      </c>
      <c r="E297" s="33">
        <v>0.08</v>
      </c>
    </row>
    <row r="298" spans="1:5" ht="15" customHeight="1" x14ac:dyDescent="0.3">
      <c r="A298" s="31"/>
      <c r="B298" s="32">
        <v>46183</v>
      </c>
      <c r="C298" s="31" t="s">
        <v>171</v>
      </c>
      <c r="D298" s="31" t="s">
        <v>59</v>
      </c>
      <c r="E298" s="33">
        <v>10</v>
      </c>
    </row>
    <row r="299" spans="1:5" ht="15" customHeight="1" x14ac:dyDescent="0.3">
      <c r="A299" s="31"/>
      <c r="B299" s="32">
        <v>46183</v>
      </c>
      <c r="C299" s="31" t="s">
        <v>171</v>
      </c>
      <c r="D299" s="31" t="s">
        <v>59</v>
      </c>
      <c r="E299" s="33">
        <v>0.08</v>
      </c>
    </row>
    <row r="300" spans="1:5" ht="15" customHeight="1" x14ac:dyDescent="0.3">
      <c r="A300" s="31"/>
      <c r="B300" s="32">
        <v>46184</v>
      </c>
      <c r="C300" s="31" t="s">
        <v>171</v>
      </c>
      <c r="D300" s="31" t="s">
        <v>59</v>
      </c>
      <c r="E300" s="33">
        <v>7.58</v>
      </c>
    </row>
    <row r="301" spans="1:5" ht="15" customHeight="1" x14ac:dyDescent="0.3">
      <c r="A301" s="31"/>
      <c r="B301" s="32">
        <v>46184</v>
      </c>
      <c r="C301" s="31" t="s">
        <v>171</v>
      </c>
      <c r="D301" s="31" t="s">
        <v>59</v>
      </c>
      <c r="E301" s="33">
        <v>0.42</v>
      </c>
    </row>
    <row r="302" spans="1:5" ht="15" customHeight="1" x14ac:dyDescent="0.3">
      <c r="A302" s="31"/>
      <c r="B302" s="32">
        <v>46184</v>
      </c>
      <c r="C302" s="31" t="s">
        <v>177</v>
      </c>
      <c r="D302" s="31" t="s">
        <v>59</v>
      </c>
      <c r="E302" s="33">
        <v>1.17</v>
      </c>
    </row>
    <row r="303" spans="1:5" ht="15" customHeight="1" x14ac:dyDescent="0.3">
      <c r="A303" s="31"/>
      <c r="B303" s="32">
        <v>46185</v>
      </c>
      <c r="C303" s="31" t="s">
        <v>179</v>
      </c>
      <c r="D303" s="31" t="s">
        <v>59</v>
      </c>
      <c r="E303" s="33">
        <v>4.92</v>
      </c>
    </row>
    <row r="304" spans="1:5" ht="15" customHeight="1" x14ac:dyDescent="0.3">
      <c r="A304" s="31"/>
      <c r="B304" s="32">
        <v>46185</v>
      </c>
      <c r="C304" s="31" t="s">
        <v>179</v>
      </c>
      <c r="D304" s="31" t="s">
        <v>59</v>
      </c>
      <c r="E304" s="33">
        <v>1.17</v>
      </c>
    </row>
    <row r="305" spans="1:5" ht="15" customHeight="1" x14ac:dyDescent="0.3">
      <c r="A305" s="31"/>
      <c r="B305" s="32">
        <v>46185</v>
      </c>
      <c r="C305" s="31" t="s">
        <v>177</v>
      </c>
      <c r="D305" s="31" t="s">
        <v>59</v>
      </c>
      <c r="E305" s="33">
        <v>0.75</v>
      </c>
    </row>
    <row r="306" spans="1:5" ht="15" customHeight="1" x14ac:dyDescent="0.3">
      <c r="A306" s="31"/>
      <c r="B306" s="32">
        <v>46187</v>
      </c>
      <c r="C306" s="31" t="s">
        <v>171</v>
      </c>
      <c r="D306" s="31" t="s">
        <v>59</v>
      </c>
      <c r="E306" s="33">
        <v>0.42</v>
      </c>
    </row>
    <row r="307" spans="1:5" ht="15" customHeight="1" x14ac:dyDescent="0.3">
      <c r="A307" s="31"/>
      <c r="B307" s="32">
        <v>46188</v>
      </c>
      <c r="C307" s="31" t="s">
        <v>179</v>
      </c>
      <c r="D307" s="31" t="s">
        <v>59</v>
      </c>
      <c r="E307" s="33">
        <v>5.92</v>
      </c>
    </row>
    <row r="308" spans="1:5" ht="15" customHeight="1" x14ac:dyDescent="0.3">
      <c r="A308" s="31"/>
      <c r="B308" s="32">
        <v>46188</v>
      </c>
      <c r="C308" s="31" t="s">
        <v>179</v>
      </c>
      <c r="D308" s="31" t="s">
        <v>59</v>
      </c>
      <c r="E308" s="33">
        <v>4.08</v>
      </c>
    </row>
    <row r="309" spans="1:5" ht="15" customHeight="1" x14ac:dyDescent="0.3">
      <c r="A309" s="31"/>
      <c r="B309" s="32">
        <v>46188</v>
      </c>
      <c r="C309" s="31" t="s">
        <v>171</v>
      </c>
      <c r="D309" s="31" t="s">
        <v>59</v>
      </c>
      <c r="E309" s="33">
        <v>6.08</v>
      </c>
    </row>
    <row r="310" spans="1:5" ht="15" customHeight="1" x14ac:dyDescent="0.3">
      <c r="A310" s="31"/>
      <c r="B310" s="32">
        <v>46188</v>
      </c>
      <c r="C310" s="31" t="s">
        <v>171</v>
      </c>
      <c r="D310" s="31" t="s">
        <v>59</v>
      </c>
      <c r="E310" s="33">
        <v>3.92</v>
      </c>
    </row>
    <row r="311" spans="1:5" ht="15" customHeight="1" x14ac:dyDescent="0.3">
      <c r="A311" s="31"/>
      <c r="B311" s="32">
        <v>46188</v>
      </c>
      <c r="C311" s="31" t="s">
        <v>171</v>
      </c>
      <c r="D311" s="31" t="s">
        <v>59</v>
      </c>
      <c r="E311" s="33">
        <v>0.33</v>
      </c>
    </row>
    <row r="312" spans="1:5" ht="15" customHeight="1" x14ac:dyDescent="0.3">
      <c r="A312" s="31"/>
      <c r="B312" s="32">
        <v>46188</v>
      </c>
      <c r="C312" s="31" t="s">
        <v>177</v>
      </c>
      <c r="D312" s="31" t="s">
        <v>59</v>
      </c>
      <c r="E312" s="33">
        <v>3.92</v>
      </c>
    </row>
    <row r="313" spans="1:5" ht="15" customHeight="1" x14ac:dyDescent="0.3">
      <c r="A313" s="31"/>
      <c r="B313" s="32">
        <v>46188</v>
      </c>
      <c r="C313" s="31" t="s">
        <v>177</v>
      </c>
      <c r="D313" s="31" t="s">
        <v>59</v>
      </c>
      <c r="E313" s="33">
        <v>1.17</v>
      </c>
    </row>
    <row r="314" spans="1:5" ht="15" customHeight="1" x14ac:dyDescent="0.3">
      <c r="A314" s="31"/>
      <c r="B314" s="32">
        <v>46189</v>
      </c>
      <c r="C314" s="31" t="s">
        <v>179</v>
      </c>
      <c r="D314" s="31" t="s">
        <v>59</v>
      </c>
      <c r="E314" s="33">
        <v>10</v>
      </c>
    </row>
    <row r="315" spans="1:5" ht="15" customHeight="1" x14ac:dyDescent="0.3">
      <c r="A315" s="31"/>
      <c r="B315" s="32">
        <v>46189</v>
      </c>
      <c r="C315" s="31" t="s">
        <v>179</v>
      </c>
      <c r="D315" s="31" t="s">
        <v>59</v>
      </c>
      <c r="E315" s="33">
        <v>1</v>
      </c>
    </row>
    <row r="316" spans="1:5" ht="15" customHeight="1" x14ac:dyDescent="0.3">
      <c r="A316" s="31"/>
      <c r="B316" s="32">
        <v>46189</v>
      </c>
      <c r="C316" s="31" t="s">
        <v>171</v>
      </c>
      <c r="D316" s="31" t="s">
        <v>59</v>
      </c>
      <c r="E316" s="33">
        <v>5.08</v>
      </c>
    </row>
    <row r="317" spans="1:5" ht="15" customHeight="1" x14ac:dyDescent="0.3">
      <c r="A317" s="31"/>
      <c r="B317" s="32">
        <v>46189</v>
      </c>
      <c r="C317" s="31" t="s">
        <v>171</v>
      </c>
      <c r="D317" s="31" t="s">
        <v>59</v>
      </c>
      <c r="E317" s="33">
        <v>4.67</v>
      </c>
    </row>
    <row r="318" spans="1:5" ht="15" customHeight="1" x14ac:dyDescent="0.3">
      <c r="A318" s="31"/>
      <c r="B318" s="32">
        <v>46189</v>
      </c>
      <c r="C318" s="31" t="s">
        <v>177</v>
      </c>
      <c r="D318" s="31" t="s">
        <v>59</v>
      </c>
      <c r="E318" s="33">
        <v>3.42</v>
      </c>
    </row>
    <row r="319" spans="1:5" ht="15" customHeight="1" x14ac:dyDescent="0.3">
      <c r="A319" s="31"/>
      <c r="B319" s="32">
        <v>46189</v>
      </c>
      <c r="C319" s="31" t="s">
        <v>177</v>
      </c>
      <c r="D319" s="31" t="s">
        <v>59</v>
      </c>
      <c r="E319" s="33">
        <v>0.57999999999999996</v>
      </c>
    </row>
    <row r="320" spans="1:5" ht="15" customHeight="1" x14ac:dyDescent="0.3">
      <c r="A320" s="31"/>
      <c r="B320" s="32">
        <v>46189</v>
      </c>
      <c r="C320" s="31" t="s">
        <v>177</v>
      </c>
      <c r="D320" s="31" t="s">
        <v>59</v>
      </c>
      <c r="E320" s="33">
        <v>3.33</v>
      </c>
    </row>
    <row r="321" spans="1:5" ht="15" customHeight="1" x14ac:dyDescent="0.3">
      <c r="A321" s="31"/>
      <c r="B321" s="32">
        <v>46190</v>
      </c>
      <c r="C321" s="31" t="s">
        <v>171</v>
      </c>
      <c r="D321" s="31" t="s">
        <v>59</v>
      </c>
      <c r="E321" s="33">
        <v>5.67</v>
      </c>
    </row>
    <row r="322" spans="1:5" ht="15" customHeight="1" x14ac:dyDescent="0.3">
      <c r="A322" s="31"/>
      <c r="B322" s="32">
        <v>46190</v>
      </c>
      <c r="C322" s="31" t="s">
        <v>171</v>
      </c>
      <c r="D322" s="31" t="s">
        <v>59</v>
      </c>
      <c r="E322" s="33">
        <v>3.25</v>
      </c>
    </row>
    <row r="323" spans="1:5" ht="15" customHeight="1" x14ac:dyDescent="0.3">
      <c r="A323" s="31"/>
      <c r="B323" s="32">
        <v>46191</v>
      </c>
      <c r="C323" s="31" t="s">
        <v>171</v>
      </c>
      <c r="D323" s="31" t="s">
        <v>59</v>
      </c>
      <c r="E323" s="33">
        <v>2.25</v>
      </c>
    </row>
    <row r="324" spans="1:5" ht="15" customHeight="1" x14ac:dyDescent="0.3">
      <c r="A324" s="31"/>
      <c r="B324" s="32">
        <v>46191</v>
      </c>
      <c r="C324" s="31" t="s">
        <v>171</v>
      </c>
      <c r="D324" s="31" t="s">
        <v>59</v>
      </c>
      <c r="E324" s="33">
        <v>0.25</v>
      </c>
    </row>
    <row r="325" spans="1:5" ht="15" customHeight="1" x14ac:dyDescent="0.3">
      <c r="A325" s="31"/>
      <c r="B325" s="32">
        <v>46191</v>
      </c>
      <c r="C325" s="31" t="s">
        <v>171</v>
      </c>
      <c r="D325" s="31" t="s">
        <v>59</v>
      </c>
      <c r="E325" s="33">
        <v>0.67</v>
      </c>
    </row>
    <row r="326" spans="1:5" ht="15" customHeight="1" x14ac:dyDescent="0.3">
      <c r="A326" s="31"/>
      <c r="B326" s="32">
        <v>46195</v>
      </c>
      <c r="C326" s="31" t="s">
        <v>171</v>
      </c>
      <c r="D326" s="31" t="s">
        <v>59</v>
      </c>
      <c r="E326" s="33">
        <v>2.67</v>
      </c>
    </row>
    <row r="327" spans="1:5" ht="15" customHeight="1" x14ac:dyDescent="0.3">
      <c r="A327" s="31"/>
      <c r="B327" s="32">
        <v>46195</v>
      </c>
      <c r="C327" s="31" t="s">
        <v>171</v>
      </c>
      <c r="D327" s="31" t="s">
        <v>59</v>
      </c>
      <c r="E327" s="33">
        <v>3.67</v>
      </c>
    </row>
    <row r="328" spans="1:5" ht="15" customHeight="1" x14ac:dyDescent="0.3">
      <c r="A328" s="31"/>
      <c r="B328" s="32">
        <v>46196</v>
      </c>
      <c r="C328" s="31" t="s">
        <v>171</v>
      </c>
      <c r="D328" s="31" t="s">
        <v>59</v>
      </c>
      <c r="E328" s="33">
        <v>1.25</v>
      </c>
    </row>
    <row r="329" spans="1:5" ht="15" customHeight="1" x14ac:dyDescent="0.3">
      <c r="A329" s="31"/>
      <c r="B329" s="32">
        <v>46197</v>
      </c>
      <c r="C329" s="31" t="s">
        <v>179</v>
      </c>
      <c r="D329" s="31" t="s">
        <v>59</v>
      </c>
      <c r="E329" s="33">
        <v>7.08</v>
      </c>
    </row>
    <row r="330" spans="1:5" ht="15" customHeight="1" x14ac:dyDescent="0.3">
      <c r="A330" s="31"/>
      <c r="B330" s="32">
        <v>46197</v>
      </c>
      <c r="C330" s="31" t="s">
        <v>179</v>
      </c>
      <c r="D330" s="31" t="s">
        <v>59</v>
      </c>
      <c r="E330" s="33">
        <v>2.92</v>
      </c>
    </row>
    <row r="331" spans="1:5" ht="15" customHeight="1" x14ac:dyDescent="0.3">
      <c r="A331" s="31"/>
      <c r="B331" s="32">
        <v>46197</v>
      </c>
      <c r="C331" s="31" t="s">
        <v>179</v>
      </c>
      <c r="D331" s="31" t="s">
        <v>59</v>
      </c>
      <c r="E331" s="33">
        <v>0.57999999999999996</v>
      </c>
    </row>
    <row r="332" spans="1:5" ht="15" customHeight="1" x14ac:dyDescent="0.3">
      <c r="A332" s="31"/>
      <c r="B332" s="32">
        <v>46197</v>
      </c>
      <c r="C332" s="31" t="s">
        <v>171</v>
      </c>
      <c r="D332" s="31" t="s">
        <v>59</v>
      </c>
      <c r="E332" s="33">
        <v>0.67</v>
      </c>
    </row>
    <row r="333" spans="1:5" ht="15" customHeight="1" x14ac:dyDescent="0.3">
      <c r="A333" s="31"/>
      <c r="B333" s="32">
        <v>46197</v>
      </c>
      <c r="C333" s="31" t="s">
        <v>171</v>
      </c>
      <c r="D333" s="31" t="s">
        <v>59</v>
      </c>
      <c r="E333" s="33">
        <v>1.5</v>
      </c>
    </row>
    <row r="334" spans="1:5" ht="15" customHeight="1" x14ac:dyDescent="0.3">
      <c r="A334" s="31"/>
      <c r="B334" s="32">
        <v>46199</v>
      </c>
      <c r="C334" s="31" t="s">
        <v>179</v>
      </c>
      <c r="D334" s="31" t="s">
        <v>59</v>
      </c>
      <c r="E334" s="33">
        <v>0.42</v>
      </c>
    </row>
    <row r="335" spans="1:5" ht="15" customHeight="1" x14ac:dyDescent="0.3">
      <c r="A335" s="31"/>
      <c r="B335" s="32">
        <v>46199</v>
      </c>
      <c r="C335" s="31" t="s">
        <v>179</v>
      </c>
      <c r="D335" s="31" t="s">
        <v>59</v>
      </c>
      <c r="E335" s="33">
        <v>1.25</v>
      </c>
    </row>
    <row r="336" spans="1:5" ht="15" customHeight="1" x14ac:dyDescent="0.3">
      <c r="A336" s="31"/>
      <c r="B336" s="32">
        <v>46199</v>
      </c>
      <c r="C336" s="31" t="s">
        <v>171</v>
      </c>
      <c r="D336" s="31" t="s">
        <v>59</v>
      </c>
      <c r="E336" s="33">
        <v>0.5</v>
      </c>
    </row>
    <row r="337" spans="1:5" ht="15" customHeight="1" x14ac:dyDescent="0.3">
      <c r="A337" s="31"/>
      <c r="B337" s="32">
        <v>46203</v>
      </c>
      <c r="C337" s="31" t="s">
        <v>171</v>
      </c>
      <c r="D337" s="31" t="s">
        <v>59</v>
      </c>
      <c r="E337" s="33">
        <v>0.92</v>
      </c>
    </row>
    <row r="338" spans="1:5" ht="15" customHeight="1" x14ac:dyDescent="0.3">
      <c r="A338" s="31" t="s">
        <v>180</v>
      </c>
      <c r="B338" s="32"/>
      <c r="C338" s="31"/>
      <c r="D338" s="31"/>
      <c r="E338" s="33">
        <v>974.53</v>
      </c>
    </row>
    <row r="339" spans="1:5" ht="15" customHeight="1" x14ac:dyDescent="0.3">
      <c r="A339" s="28" t="s">
        <v>181</v>
      </c>
      <c r="B339" s="29"/>
      <c r="C339" s="28"/>
      <c r="D339" s="28"/>
      <c r="E339" s="30"/>
    </row>
    <row r="340" spans="1:5" ht="15" customHeight="1" x14ac:dyDescent="0.3">
      <c r="A340" s="31"/>
      <c r="B340" s="32">
        <v>46171</v>
      </c>
      <c r="C340" s="31" t="s">
        <v>60</v>
      </c>
      <c r="D340" s="31" t="s">
        <v>59</v>
      </c>
      <c r="E340" s="33">
        <v>1.92</v>
      </c>
    </row>
    <row r="341" spans="1:5" ht="15" customHeight="1" x14ac:dyDescent="0.3">
      <c r="A341" s="31"/>
      <c r="B341" s="32">
        <v>46171</v>
      </c>
      <c r="C341" s="31" t="s">
        <v>60</v>
      </c>
      <c r="D341" s="31" t="s">
        <v>59</v>
      </c>
      <c r="E341" s="33">
        <v>1.08</v>
      </c>
    </row>
    <row r="342" spans="1:5" ht="15" customHeight="1" x14ac:dyDescent="0.3">
      <c r="A342" s="31" t="s">
        <v>182</v>
      </c>
      <c r="B342" s="32"/>
      <c r="C342" s="31"/>
      <c r="D342" s="31"/>
      <c r="E342" s="33">
        <v>3</v>
      </c>
    </row>
    <row r="343" spans="1:5" ht="15" customHeight="1" x14ac:dyDescent="0.3">
      <c r="A343" s="28" t="s">
        <v>490</v>
      </c>
      <c r="B343" s="29"/>
      <c r="C343" s="28"/>
      <c r="D343" s="28"/>
      <c r="E343" s="30"/>
    </row>
    <row r="344" spans="1:5" ht="15" customHeight="1" x14ac:dyDescent="0.3">
      <c r="A344" s="31"/>
      <c r="B344" s="32">
        <v>46185</v>
      </c>
      <c r="C344" s="31" t="s">
        <v>179</v>
      </c>
      <c r="D344" s="31" t="s">
        <v>59</v>
      </c>
      <c r="E344" s="33">
        <v>5.08</v>
      </c>
    </row>
    <row r="345" spans="1:5" ht="15" customHeight="1" x14ac:dyDescent="0.3">
      <c r="A345" s="31"/>
      <c r="B345" s="32">
        <v>46193</v>
      </c>
      <c r="C345" s="31" t="s">
        <v>179</v>
      </c>
      <c r="D345" s="31" t="s">
        <v>59</v>
      </c>
      <c r="E345" s="33">
        <v>7.08</v>
      </c>
    </row>
    <row r="346" spans="1:5" ht="15" customHeight="1" x14ac:dyDescent="0.3">
      <c r="A346" s="31"/>
      <c r="B346" s="32">
        <v>46193</v>
      </c>
      <c r="C346" s="31" t="s">
        <v>179</v>
      </c>
      <c r="D346" s="31" t="s">
        <v>59</v>
      </c>
      <c r="E346" s="33">
        <v>2.92</v>
      </c>
    </row>
    <row r="347" spans="1:5" ht="15" customHeight="1" x14ac:dyDescent="0.3">
      <c r="A347" s="31"/>
      <c r="B347" s="32">
        <v>46193</v>
      </c>
      <c r="C347" s="31" t="s">
        <v>179</v>
      </c>
      <c r="D347" s="31" t="s">
        <v>59</v>
      </c>
      <c r="E347" s="33">
        <v>1.42</v>
      </c>
    </row>
    <row r="348" spans="1:5" ht="15" customHeight="1" x14ac:dyDescent="0.3">
      <c r="A348" s="31" t="s">
        <v>491</v>
      </c>
      <c r="B348" s="32"/>
      <c r="C348" s="31"/>
      <c r="D348" s="31"/>
      <c r="E348" s="33">
        <v>16.5</v>
      </c>
    </row>
    <row r="349" spans="1:5" ht="15" customHeight="1" x14ac:dyDescent="0.3">
      <c r="A349" s="28" t="s">
        <v>183</v>
      </c>
      <c r="B349" s="29"/>
      <c r="C349" s="28"/>
      <c r="D349" s="28"/>
      <c r="E349" s="30"/>
    </row>
    <row r="350" spans="1:5" ht="15" customHeight="1" x14ac:dyDescent="0.3">
      <c r="A350" s="31"/>
      <c r="B350" s="32">
        <v>46114</v>
      </c>
      <c r="C350" s="31" t="s">
        <v>173</v>
      </c>
      <c r="D350" s="31" t="s">
        <v>59</v>
      </c>
      <c r="E350" s="33">
        <v>3.17</v>
      </c>
    </row>
    <row r="351" spans="1:5" ht="15" customHeight="1" x14ac:dyDescent="0.3">
      <c r="A351" s="31"/>
      <c r="B351" s="32">
        <v>46127</v>
      </c>
      <c r="C351" s="31" t="s">
        <v>173</v>
      </c>
      <c r="D351" s="31" t="s">
        <v>59</v>
      </c>
      <c r="E351" s="33">
        <v>0</v>
      </c>
    </row>
    <row r="352" spans="1:5" ht="15" customHeight="1" x14ac:dyDescent="0.3">
      <c r="A352" s="31" t="s">
        <v>184</v>
      </c>
      <c r="B352" s="32"/>
      <c r="C352" s="31"/>
      <c r="D352" s="31"/>
      <c r="E352" s="33">
        <v>3.17</v>
      </c>
    </row>
    <row r="353" spans="1:5" ht="15" customHeight="1" x14ac:dyDescent="0.3">
      <c r="A353" s="28" t="s">
        <v>492</v>
      </c>
      <c r="B353" s="29"/>
      <c r="C353" s="28"/>
      <c r="D353" s="28"/>
      <c r="E353" s="30"/>
    </row>
    <row r="354" spans="1:5" ht="15" customHeight="1" x14ac:dyDescent="0.3">
      <c r="A354" s="31"/>
      <c r="B354" s="32">
        <v>46104</v>
      </c>
      <c r="C354" s="31" t="s">
        <v>171</v>
      </c>
      <c r="D354" s="31" t="s">
        <v>59</v>
      </c>
      <c r="E354" s="33">
        <v>0</v>
      </c>
    </row>
    <row r="355" spans="1:5" ht="15" customHeight="1" x14ac:dyDescent="0.3">
      <c r="A355" s="31"/>
      <c r="B355" s="32">
        <v>46182</v>
      </c>
      <c r="C355" s="31" t="s">
        <v>173</v>
      </c>
      <c r="D355" s="31" t="s">
        <v>59</v>
      </c>
      <c r="E355" s="33">
        <v>4.5</v>
      </c>
    </row>
    <row r="356" spans="1:5" ht="15" customHeight="1" x14ac:dyDescent="0.3">
      <c r="A356" s="31"/>
      <c r="B356" s="32">
        <v>46182</v>
      </c>
      <c r="C356" s="31" t="s">
        <v>173</v>
      </c>
      <c r="D356" s="31" t="s">
        <v>59</v>
      </c>
      <c r="E356" s="33">
        <v>2.75</v>
      </c>
    </row>
    <row r="357" spans="1:5" ht="15" customHeight="1" x14ac:dyDescent="0.3">
      <c r="A357" s="31"/>
      <c r="B357" s="32">
        <v>46203</v>
      </c>
      <c r="C357" s="31" t="s">
        <v>171</v>
      </c>
      <c r="D357" s="31" t="s">
        <v>59</v>
      </c>
      <c r="E357" s="33">
        <v>1.33</v>
      </c>
    </row>
    <row r="358" spans="1:5" ht="15" customHeight="1" x14ac:dyDescent="0.3">
      <c r="A358" s="31" t="s">
        <v>493</v>
      </c>
      <c r="B358" s="32"/>
      <c r="C358" s="31"/>
      <c r="D358" s="31"/>
      <c r="E358" s="33">
        <v>8.58</v>
      </c>
    </row>
    <row r="359" spans="1:5" ht="15" customHeight="1" x14ac:dyDescent="0.3">
      <c r="A359" s="28" t="s">
        <v>185</v>
      </c>
      <c r="B359" s="29"/>
      <c r="C359" s="28"/>
      <c r="D359" s="28"/>
      <c r="E359" s="30"/>
    </row>
    <row r="360" spans="1:5" ht="15" customHeight="1" x14ac:dyDescent="0.3">
      <c r="A360" s="31"/>
      <c r="B360" s="32">
        <v>46078</v>
      </c>
      <c r="C360" s="31" t="s">
        <v>60</v>
      </c>
      <c r="D360" s="31" t="s">
        <v>59</v>
      </c>
      <c r="E360" s="33">
        <v>1.83</v>
      </c>
    </row>
    <row r="361" spans="1:5" ht="15" customHeight="1" x14ac:dyDescent="0.3">
      <c r="A361" s="31"/>
      <c r="B361" s="32">
        <v>46169</v>
      </c>
      <c r="C361" s="31" t="s">
        <v>60</v>
      </c>
      <c r="D361" s="31" t="s">
        <v>59</v>
      </c>
      <c r="E361" s="33">
        <v>2.83</v>
      </c>
    </row>
    <row r="362" spans="1:5" ht="15" customHeight="1" thickBot="1" x14ac:dyDescent="0.35">
      <c r="A362" s="31" t="s">
        <v>186</v>
      </c>
      <c r="B362" s="32"/>
      <c r="C362" s="31"/>
      <c r="D362" s="31"/>
      <c r="E362" s="33">
        <v>4.66</v>
      </c>
    </row>
    <row r="363" spans="1:5" ht="15" customHeight="1" x14ac:dyDescent="0.3">
      <c r="A363" s="31"/>
      <c r="B363" s="32"/>
      <c r="C363" s="31"/>
      <c r="D363" s="31"/>
      <c r="E363" s="34">
        <v>1160.21</v>
      </c>
    </row>
    <row r="364" spans="1:5" ht="15" customHeight="1" thickBot="1" x14ac:dyDescent="0.35">
      <c r="A364" s="21" t="s">
        <v>433</v>
      </c>
      <c r="B364" s="22"/>
      <c r="C364" s="22"/>
      <c r="D364" s="22"/>
      <c r="E364" s="23">
        <f>ROUND(E27+E61+E66+E339+E343+E349+E353+E359+E363,5)</f>
        <v>1160.21</v>
      </c>
    </row>
  </sheetData>
  <pageMargins left="0.14000000000000001" right="0.08" top="0.13" bottom="0.39" header="0" footer="0"/>
  <pageSetup orientation="landscape" r:id="rId1"/>
  <headerFoot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E958-712D-432C-9952-3C2B8089A5A9}">
  <sheetPr codeName="Sheet1"/>
  <dimension ref="A1:F435"/>
  <sheetViews>
    <sheetView workbookViewId="0">
      <pane xSplit="1" ySplit="1" topLeftCell="B412" activePane="bottomRight" state="frozenSplit"/>
      <selection pane="topRight" activeCell="C1" sqref="C1"/>
      <selection pane="bottomLeft" activeCell="A2" sqref="A2"/>
      <selection pane="bottomRight" activeCell="G65" sqref="G65"/>
    </sheetView>
  </sheetViews>
  <sheetFormatPr defaultRowHeight="15" x14ac:dyDescent="0.25"/>
  <cols>
    <col min="1" max="1" width="34.33203125" style="45" customWidth="1"/>
    <col min="2" max="2" width="13" style="45" bestFit="1" customWidth="1"/>
    <col min="3" max="3" width="7.88671875" style="45" bestFit="1" customWidth="1"/>
    <col min="4" max="4" width="11.77734375" style="45" bestFit="1" customWidth="1"/>
    <col min="5" max="5" width="37.44140625" style="45" customWidth="1"/>
    <col min="6" max="6" width="13.109375" style="45" bestFit="1" customWidth="1"/>
    <col min="7" max="16384" width="8.88671875" style="45"/>
  </cols>
  <sheetData>
    <row r="1" spans="1:6" s="41" customFormat="1" ht="15.6" thickBot="1" x14ac:dyDescent="0.3">
      <c r="A1" s="39"/>
      <c r="B1" s="40" t="s">
        <v>61</v>
      </c>
      <c r="C1" s="40" t="s">
        <v>54</v>
      </c>
      <c r="D1" s="40" t="s">
        <v>62</v>
      </c>
      <c r="E1" s="40" t="s">
        <v>63</v>
      </c>
      <c r="F1" s="40" t="s">
        <v>58</v>
      </c>
    </row>
    <row r="2" spans="1:6" ht="15.6" thickTop="1" x14ac:dyDescent="0.25">
      <c r="A2" s="42" t="s">
        <v>189</v>
      </c>
      <c r="B2" s="42"/>
      <c r="C2" s="43"/>
      <c r="D2" s="42"/>
      <c r="E2" s="42"/>
      <c r="F2" s="44"/>
    </row>
    <row r="3" spans="1:6" ht="15.6" thickBot="1" x14ac:dyDescent="0.3">
      <c r="A3" s="46"/>
      <c r="B3" s="47" t="s">
        <v>65</v>
      </c>
      <c r="C3" s="48">
        <v>46086</v>
      </c>
      <c r="D3" s="47" t="s">
        <v>190</v>
      </c>
      <c r="E3" s="58" t="s">
        <v>92</v>
      </c>
      <c r="F3" s="49">
        <v>3379.95</v>
      </c>
    </row>
    <row r="4" spans="1:6" x14ac:dyDescent="0.25">
      <c r="A4" s="47" t="s">
        <v>191</v>
      </c>
      <c r="B4" s="47"/>
      <c r="C4" s="48"/>
      <c r="D4" s="47"/>
      <c r="E4" s="58"/>
      <c r="F4" s="50">
        <f>ROUND(SUM(F2:F3),5)</f>
        <v>3379.95</v>
      </c>
    </row>
    <row r="5" spans="1:6" x14ac:dyDescent="0.25">
      <c r="A5" s="42" t="s">
        <v>436</v>
      </c>
      <c r="B5" s="42"/>
      <c r="C5" s="43"/>
      <c r="D5" s="42"/>
      <c r="E5" s="57"/>
      <c r="F5" s="44"/>
    </row>
    <row r="6" spans="1:6" x14ac:dyDescent="0.25">
      <c r="A6" s="47"/>
      <c r="B6" s="47" t="s">
        <v>209</v>
      </c>
      <c r="C6" s="48">
        <v>46176</v>
      </c>
      <c r="D6" s="47"/>
      <c r="E6" s="58" t="s">
        <v>112</v>
      </c>
      <c r="F6" s="50">
        <v>2295.86</v>
      </c>
    </row>
    <row r="7" spans="1:6" x14ac:dyDescent="0.25">
      <c r="A7" s="47"/>
      <c r="B7" s="47" t="s">
        <v>497</v>
      </c>
      <c r="C7" s="48">
        <v>46183</v>
      </c>
      <c r="D7" s="47"/>
      <c r="E7" s="58" t="s">
        <v>112</v>
      </c>
      <c r="F7" s="50">
        <v>-492.1</v>
      </c>
    </row>
    <row r="8" spans="1:6" x14ac:dyDescent="0.25">
      <c r="A8" s="47"/>
      <c r="B8" s="47" t="s">
        <v>209</v>
      </c>
      <c r="C8" s="48">
        <v>46203</v>
      </c>
      <c r="D8" s="47" t="s">
        <v>437</v>
      </c>
      <c r="E8" s="58" t="s">
        <v>112</v>
      </c>
      <c r="F8" s="50">
        <v>871.84</v>
      </c>
    </row>
    <row r="9" spans="1:6" x14ac:dyDescent="0.25">
      <c r="A9" s="47"/>
      <c r="B9" s="47" t="s">
        <v>65</v>
      </c>
      <c r="C9" s="48">
        <v>46206</v>
      </c>
      <c r="D9" s="47" t="s">
        <v>498</v>
      </c>
      <c r="E9" s="58" t="s">
        <v>112</v>
      </c>
      <c r="F9" s="50">
        <v>4113.6899999999996</v>
      </c>
    </row>
    <row r="10" spans="1:6" ht="15.6" thickBot="1" x14ac:dyDescent="0.3">
      <c r="A10" s="47"/>
      <c r="B10" s="47" t="s">
        <v>497</v>
      </c>
      <c r="C10" s="48">
        <v>46206</v>
      </c>
      <c r="D10" s="47"/>
      <c r="E10" s="58" t="s">
        <v>112</v>
      </c>
      <c r="F10" s="49">
        <v>-336.46</v>
      </c>
    </row>
    <row r="11" spans="1:6" x14ac:dyDescent="0.25">
      <c r="A11" s="47" t="s">
        <v>438</v>
      </c>
      <c r="B11" s="47"/>
      <c r="C11" s="48"/>
      <c r="D11" s="47"/>
      <c r="E11" s="58"/>
      <c r="F11" s="50">
        <f>ROUND(SUM(F5:F10),5)</f>
        <v>6452.83</v>
      </c>
    </row>
    <row r="12" spans="1:6" x14ac:dyDescent="0.25">
      <c r="A12" s="42" t="s">
        <v>192</v>
      </c>
      <c r="B12" s="42"/>
      <c r="C12" s="43"/>
      <c r="D12" s="42"/>
      <c r="E12" s="57"/>
      <c r="F12" s="44"/>
    </row>
    <row r="13" spans="1:6" x14ac:dyDescent="0.25">
      <c r="A13" s="47"/>
      <c r="B13" s="47" t="s">
        <v>65</v>
      </c>
      <c r="C13" s="48">
        <v>46080</v>
      </c>
      <c r="D13" s="47" t="s">
        <v>193</v>
      </c>
      <c r="E13" s="58" t="s">
        <v>83</v>
      </c>
      <c r="F13" s="50">
        <v>411.09</v>
      </c>
    </row>
    <row r="14" spans="1:6" x14ac:dyDescent="0.25">
      <c r="A14" s="47"/>
      <c r="B14" s="47" t="s">
        <v>65</v>
      </c>
      <c r="C14" s="48">
        <v>46083</v>
      </c>
      <c r="D14" s="47" t="s">
        <v>194</v>
      </c>
      <c r="E14" s="58" t="s">
        <v>83</v>
      </c>
      <c r="F14" s="50">
        <v>1162.28</v>
      </c>
    </row>
    <row r="15" spans="1:6" x14ac:dyDescent="0.25">
      <c r="A15" s="47"/>
      <c r="B15" s="47" t="s">
        <v>65</v>
      </c>
      <c r="C15" s="48">
        <v>46088</v>
      </c>
      <c r="D15" s="47" t="s">
        <v>195</v>
      </c>
      <c r="E15" s="58" t="s">
        <v>83</v>
      </c>
      <c r="F15" s="50">
        <v>408.36</v>
      </c>
    </row>
    <row r="16" spans="1:6" x14ac:dyDescent="0.25">
      <c r="A16" s="47"/>
      <c r="B16" s="47" t="s">
        <v>65</v>
      </c>
      <c r="C16" s="48">
        <v>46090</v>
      </c>
      <c r="D16" s="47" t="s">
        <v>196</v>
      </c>
      <c r="E16" s="58" t="s">
        <v>83</v>
      </c>
      <c r="F16" s="50">
        <v>227.04</v>
      </c>
    </row>
    <row r="17" spans="1:6" x14ac:dyDescent="0.25">
      <c r="A17" s="47"/>
      <c r="B17" s="47" t="s">
        <v>65</v>
      </c>
      <c r="C17" s="48">
        <v>46091</v>
      </c>
      <c r="D17" s="47" t="s">
        <v>197</v>
      </c>
      <c r="E17" s="58" t="s">
        <v>83</v>
      </c>
      <c r="F17" s="50">
        <v>627.47</v>
      </c>
    </row>
    <row r="18" spans="1:6" x14ac:dyDescent="0.25">
      <c r="A18" s="47"/>
      <c r="B18" s="47" t="s">
        <v>198</v>
      </c>
      <c r="C18" s="48">
        <v>46091</v>
      </c>
      <c r="D18" s="47" t="s">
        <v>199</v>
      </c>
      <c r="E18" s="58" t="s">
        <v>83</v>
      </c>
      <c r="F18" s="50">
        <v>-255.26</v>
      </c>
    </row>
    <row r="19" spans="1:6" x14ac:dyDescent="0.25">
      <c r="A19" s="47"/>
      <c r="B19" s="47" t="s">
        <v>65</v>
      </c>
      <c r="C19" s="48">
        <v>46093</v>
      </c>
      <c r="D19" s="47" t="s">
        <v>200</v>
      </c>
      <c r="E19" s="58" t="s">
        <v>83</v>
      </c>
      <c r="F19" s="50">
        <v>533.88</v>
      </c>
    </row>
    <row r="20" spans="1:6" x14ac:dyDescent="0.25">
      <c r="A20" s="47"/>
      <c r="B20" s="47" t="s">
        <v>65</v>
      </c>
      <c r="C20" s="48">
        <v>46139</v>
      </c>
      <c r="D20" s="47" t="s">
        <v>201</v>
      </c>
      <c r="E20" s="58" t="s">
        <v>83</v>
      </c>
      <c r="F20" s="50">
        <v>797.73</v>
      </c>
    </row>
    <row r="21" spans="1:6" x14ac:dyDescent="0.25">
      <c r="A21" s="47"/>
      <c r="B21" s="47" t="s">
        <v>65</v>
      </c>
      <c r="C21" s="48">
        <v>46154</v>
      </c>
      <c r="D21" s="47" t="s">
        <v>202</v>
      </c>
      <c r="E21" s="58" t="s">
        <v>83</v>
      </c>
      <c r="F21" s="50">
        <v>510.81</v>
      </c>
    </row>
    <row r="22" spans="1:6" x14ac:dyDescent="0.25">
      <c r="A22" s="47"/>
      <c r="B22" s="47" t="s">
        <v>65</v>
      </c>
      <c r="C22" s="48">
        <v>46183</v>
      </c>
      <c r="D22" s="47" t="s">
        <v>439</v>
      </c>
      <c r="E22" s="58" t="s">
        <v>83</v>
      </c>
      <c r="F22" s="50">
        <v>7.66</v>
      </c>
    </row>
    <row r="23" spans="1:6" x14ac:dyDescent="0.25">
      <c r="A23" s="47"/>
      <c r="B23" s="47" t="s">
        <v>65</v>
      </c>
      <c r="C23" s="48">
        <v>46185</v>
      </c>
      <c r="D23" s="47" t="s">
        <v>440</v>
      </c>
      <c r="E23" s="58" t="s">
        <v>83</v>
      </c>
      <c r="F23" s="50">
        <v>159.4</v>
      </c>
    </row>
    <row r="24" spans="1:6" x14ac:dyDescent="0.25">
      <c r="A24" s="47"/>
      <c r="B24" s="47" t="s">
        <v>65</v>
      </c>
      <c r="C24" s="48">
        <v>46186</v>
      </c>
      <c r="D24" s="47" t="s">
        <v>441</v>
      </c>
      <c r="E24" s="58" t="s">
        <v>83</v>
      </c>
      <c r="F24" s="50">
        <v>58.29</v>
      </c>
    </row>
    <row r="25" spans="1:6" x14ac:dyDescent="0.25">
      <c r="A25" s="47"/>
      <c r="B25" s="47" t="s">
        <v>65</v>
      </c>
      <c r="C25" s="48">
        <v>46190</v>
      </c>
      <c r="D25" s="47" t="s">
        <v>442</v>
      </c>
      <c r="E25" s="58" t="s">
        <v>83</v>
      </c>
      <c r="F25" s="50">
        <v>8.16</v>
      </c>
    </row>
    <row r="26" spans="1:6" x14ac:dyDescent="0.25">
      <c r="A26" s="47"/>
      <c r="B26" s="47" t="s">
        <v>65</v>
      </c>
      <c r="C26" s="48">
        <v>46197</v>
      </c>
      <c r="D26" s="47" t="s">
        <v>443</v>
      </c>
      <c r="E26" s="58" t="s">
        <v>83</v>
      </c>
      <c r="F26" s="50">
        <v>1800.54</v>
      </c>
    </row>
    <row r="27" spans="1:6" x14ac:dyDescent="0.25">
      <c r="A27" s="47"/>
      <c r="B27" s="47" t="s">
        <v>65</v>
      </c>
      <c r="C27" s="48">
        <v>46203</v>
      </c>
      <c r="D27" s="47" t="s">
        <v>444</v>
      </c>
      <c r="E27" s="58" t="s">
        <v>83</v>
      </c>
      <c r="F27" s="50">
        <v>4431.97</v>
      </c>
    </row>
    <row r="28" spans="1:6" x14ac:dyDescent="0.25">
      <c r="A28" s="47"/>
      <c r="B28" s="47" t="s">
        <v>65</v>
      </c>
      <c r="C28" s="48">
        <v>46205</v>
      </c>
      <c r="D28" s="47" t="s">
        <v>499</v>
      </c>
      <c r="E28" s="58" t="s">
        <v>83</v>
      </c>
      <c r="F28" s="50">
        <v>211.18</v>
      </c>
    </row>
    <row r="29" spans="1:6" x14ac:dyDescent="0.25">
      <c r="A29" s="47"/>
      <c r="B29" s="47" t="s">
        <v>65</v>
      </c>
      <c r="C29" s="48">
        <v>46209</v>
      </c>
      <c r="D29" s="47" t="s">
        <v>500</v>
      </c>
      <c r="E29" s="58" t="s">
        <v>83</v>
      </c>
      <c r="F29" s="50">
        <v>1727.02</v>
      </c>
    </row>
    <row r="30" spans="1:6" ht="15.6" thickBot="1" x14ac:dyDescent="0.3">
      <c r="A30" s="47"/>
      <c r="B30" s="47" t="s">
        <v>198</v>
      </c>
      <c r="C30" s="48">
        <v>46210</v>
      </c>
      <c r="D30" s="47" t="s">
        <v>501</v>
      </c>
      <c r="E30" s="58" t="s">
        <v>83</v>
      </c>
      <c r="F30" s="49">
        <v>-6.07</v>
      </c>
    </row>
    <row r="31" spans="1:6" x14ac:dyDescent="0.25">
      <c r="A31" s="47" t="s">
        <v>203</v>
      </c>
      <c r="B31" s="47"/>
      <c r="C31" s="48"/>
      <c r="D31" s="47"/>
      <c r="E31" s="58"/>
      <c r="F31" s="50">
        <f>ROUND(SUM(F12:F30),5)</f>
        <v>12821.55</v>
      </c>
    </row>
    <row r="32" spans="1:6" x14ac:dyDescent="0.25">
      <c r="A32" s="42" t="s">
        <v>204</v>
      </c>
      <c r="B32" s="42"/>
      <c r="C32" s="43"/>
      <c r="D32" s="42"/>
      <c r="E32" s="57"/>
      <c r="F32" s="44"/>
    </row>
    <row r="33" spans="1:6" ht="15.6" thickBot="1" x14ac:dyDescent="0.3">
      <c r="A33" s="46"/>
      <c r="B33" s="47" t="s">
        <v>65</v>
      </c>
      <c r="C33" s="48">
        <v>46000</v>
      </c>
      <c r="D33" s="47" t="s">
        <v>205</v>
      </c>
      <c r="E33" s="58" t="s">
        <v>78</v>
      </c>
      <c r="F33" s="49">
        <v>40</v>
      </c>
    </row>
    <row r="34" spans="1:6" x14ac:dyDescent="0.25">
      <c r="A34" s="47" t="s">
        <v>206</v>
      </c>
      <c r="B34" s="47"/>
      <c r="C34" s="48"/>
      <c r="D34" s="47"/>
      <c r="E34" s="58"/>
      <c r="F34" s="50">
        <f>ROUND(SUM(F32:F33),5)</f>
        <v>40</v>
      </c>
    </row>
    <row r="35" spans="1:6" x14ac:dyDescent="0.25">
      <c r="A35" s="42" t="s">
        <v>105</v>
      </c>
      <c r="B35" s="42"/>
      <c r="C35" s="43"/>
      <c r="D35" s="42"/>
      <c r="E35" s="57"/>
      <c r="F35" s="44"/>
    </row>
    <row r="36" spans="1:6" ht="15.6" thickBot="1" x14ac:dyDescent="0.3">
      <c r="A36" s="46"/>
      <c r="B36" s="47" t="s">
        <v>227</v>
      </c>
      <c r="C36" s="48">
        <v>46203</v>
      </c>
      <c r="D36" s="47" t="s">
        <v>502</v>
      </c>
      <c r="E36" s="58" t="s">
        <v>105</v>
      </c>
      <c r="F36" s="49">
        <v>4887.75</v>
      </c>
    </row>
    <row r="37" spans="1:6" x14ac:dyDescent="0.25">
      <c r="A37" s="47" t="s">
        <v>503</v>
      </c>
      <c r="B37" s="47"/>
      <c r="C37" s="48"/>
      <c r="D37" s="47"/>
      <c r="E37" s="58"/>
      <c r="F37" s="50">
        <f>ROUND(SUM(F35:F36),5)</f>
        <v>4887.75</v>
      </c>
    </row>
    <row r="38" spans="1:6" x14ac:dyDescent="0.25">
      <c r="A38" s="42" t="s">
        <v>445</v>
      </c>
      <c r="B38" s="42"/>
      <c r="C38" s="43"/>
      <c r="D38" s="42"/>
      <c r="E38" s="57"/>
      <c r="F38" s="44"/>
    </row>
    <row r="39" spans="1:6" ht="15.6" thickBot="1" x14ac:dyDescent="0.3">
      <c r="A39" s="46"/>
      <c r="B39" s="47" t="s">
        <v>65</v>
      </c>
      <c r="C39" s="48">
        <v>46197</v>
      </c>
      <c r="D39" s="47" t="s">
        <v>446</v>
      </c>
      <c r="E39" s="58" t="s">
        <v>107</v>
      </c>
      <c r="F39" s="49">
        <v>29581.13</v>
      </c>
    </row>
    <row r="40" spans="1:6" x14ac:dyDescent="0.25">
      <c r="A40" s="47" t="s">
        <v>447</v>
      </c>
      <c r="B40" s="47"/>
      <c r="C40" s="48"/>
      <c r="D40" s="47"/>
      <c r="E40" s="58"/>
      <c r="F40" s="50">
        <f>ROUND(SUM(F38:F39),5)</f>
        <v>29581.13</v>
      </c>
    </row>
    <row r="41" spans="1:6" x14ac:dyDescent="0.25">
      <c r="A41" s="42" t="s">
        <v>504</v>
      </c>
      <c r="B41" s="42"/>
      <c r="C41" s="43"/>
      <c r="D41" s="42"/>
      <c r="E41" s="57"/>
      <c r="F41" s="44"/>
    </row>
    <row r="42" spans="1:6" x14ac:dyDescent="0.25">
      <c r="A42" s="47"/>
      <c r="B42" s="47" t="s">
        <v>209</v>
      </c>
      <c r="C42" s="48">
        <v>46184</v>
      </c>
      <c r="D42" s="47"/>
      <c r="E42" s="58" t="s">
        <v>294</v>
      </c>
      <c r="F42" s="50">
        <v>36.89</v>
      </c>
    </row>
    <row r="43" spans="1:6" x14ac:dyDescent="0.25">
      <c r="A43" s="47"/>
      <c r="B43" s="47" t="s">
        <v>209</v>
      </c>
      <c r="C43" s="48">
        <v>46190</v>
      </c>
      <c r="D43" s="47"/>
      <c r="E43" s="58" t="s">
        <v>294</v>
      </c>
      <c r="F43" s="50">
        <v>47.34</v>
      </c>
    </row>
    <row r="44" spans="1:6" x14ac:dyDescent="0.25">
      <c r="A44" s="47"/>
      <c r="B44" s="47" t="s">
        <v>209</v>
      </c>
      <c r="C44" s="48">
        <v>46196</v>
      </c>
      <c r="D44" s="47"/>
      <c r="E44" s="58" t="s">
        <v>294</v>
      </c>
      <c r="F44" s="50">
        <v>250</v>
      </c>
    </row>
    <row r="45" spans="1:6" ht="15.6" thickBot="1" x14ac:dyDescent="0.3">
      <c r="A45" s="47"/>
      <c r="B45" s="47" t="s">
        <v>209</v>
      </c>
      <c r="C45" s="48">
        <v>46216</v>
      </c>
      <c r="D45" s="47"/>
      <c r="E45" s="58" t="s">
        <v>294</v>
      </c>
      <c r="F45" s="49">
        <v>250</v>
      </c>
    </row>
    <row r="46" spans="1:6" x14ac:dyDescent="0.25">
      <c r="A46" s="47" t="s">
        <v>505</v>
      </c>
      <c r="B46" s="47"/>
      <c r="C46" s="48"/>
      <c r="D46" s="47"/>
      <c r="E46" s="58"/>
      <c r="F46" s="50">
        <f>ROUND(SUM(F41:F45),5)</f>
        <v>584.23</v>
      </c>
    </row>
    <row r="47" spans="1:6" x14ac:dyDescent="0.25">
      <c r="A47" s="42" t="s">
        <v>207</v>
      </c>
      <c r="B47" s="42"/>
      <c r="C47" s="43"/>
      <c r="D47" s="42"/>
      <c r="E47" s="57"/>
      <c r="F47" s="44"/>
    </row>
    <row r="48" spans="1:6" x14ac:dyDescent="0.25">
      <c r="A48" s="47"/>
      <c r="B48" s="47" t="s">
        <v>65</v>
      </c>
      <c r="C48" s="48">
        <v>46035</v>
      </c>
      <c r="D48" s="47" t="s">
        <v>208</v>
      </c>
      <c r="E48" s="58" t="s">
        <v>76</v>
      </c>
      <c r="F48" s="50">
        <v>739.5</v>
      </c>
    </row>
    <row r="49" spans="1:6" x14ac:dyDescent="0.25">
      <c r="A49" s="47"/>
      <c r="B49" s="47" t="s">
        <v>209</v>
      </c>
      <c r="C49" s="48">
        <v>46072</v>
      </c>
      <c r="D49" s="47"/>
      <c r="E49" s="58" t="s">
        <v>76</v>
      </c>
      <c r="F49" s="50">
        <v>7400.35</v>
      </c>
    </row>
    <row r="50" spans="1:6" ht="15.6" thickBot="1" x14ac:dyDescent="0.3">
      <c r="A50" s="47"/>
      <c r="B50" s="47" t="s">
        <v>209</v>
      </c>
      <c r="C50" s="48">
        <v>46230</v>
      </c>
      <c r="D50" s="47" t="s">
        <v>208</v>
      </c>
      <c r="E50" s="58" t="s">
        <v>76</v>
      </c>
      <c r="F50" s="49">
        <v>76.5</v>
      </c>
    </row>
    <row r="51" spans="1:6" x14ac:dyDescent="0.25">
      <c r="A51" s="47" t="s">
        <v>210</v>
      </c>
      <c r="B51" s="47"/>
      <c r="C51" s="48"/>
      <c r="D51" s="47"/>
      <c r="E51" s="58"/>
      <c r="F51" s="50">
        <f>ROUND(SUM(F47:F50),5)</f>
        <v>8216.35</v>
      </c>
    </row>
    <row r="52" spans="1:6" x14ac:dyDescent="0.25">
      <c r="A52" s="42" t="s">
        <v>211</v>
      </c>
      <c r="B52" s="42"/>
      <c r="C52" s="43"/>
      <c r="D52" s="42"/>
      <c r="E52" s="57"/>
      <c r="F52" s="44"/>
    </row>
    <row r="53" spans="1:6" ht="15.6" thickBot="1" x14ac:dyDescent="0.3">
      <c r="A53" s="46"/>
      <c r="B53" s="47" t="s">
        <v>65</v>
      </c>
      <c r="C53" s="48">
        <v>46106</v>
      </c>
      <c r="D53" s="47" t="s">
        <v>212</v>
      </c>
      <c r="E53" s="58" t="s">
        <v>155</v>
      </c>
      <c r="F53" s="49">
        <v>1675.88</v>
      </c>
    </row>
    <row r="54" spans="1:6" x14ac:dyDescent="0.25">
      <c r="A54" s="47" t="s">
        <v>213</v>
      </c>
      <c r="B54" s="47"/>
      <c r="C54" s="48"/>
      <c r="D54" s="47"/>
      <c r="E54" s="58"/>
      <c r="F54" s="50">
        <f>ROUND(SUM(F52:F53),5)</f>
        <v>1675.88</v>
      </c>
    </row>
    <row r="55" spans="1:6" x14ac:dyDescent="0.25">
      <c r="A55" s="42" t="s">
        <v>214</v>
      </c>
      <c r="B55" s="42"/>
      <c r="C55" s="43"/>
      <c r="D55" s="42"/>
      <c r="E55" s="57"/>
      <c r="F55" s="44"/>
    </row>
    <row r="56" spans="1:6" x14ac:dyDescent="0.25">
      <c r="A56" s="47"/>
      <c r="B56" s="47" t="s">
        <v>65</v>
      </c>
      <c r="C56" s="48">
        <v>46094</v>
      </c>
      <c r="D56" s="47" t="s">
        <v>215</v>
      </c>
      <c r="E56" s="58" t="s">
        <v>106</v>
      </c>
      <c r="F56" s="50">
        <v>1422.77</v>
      </c>
    </row>
    <row r="57" spans="1:6" ht="15.6" thickBot="1" x14ac:dyDescent="0.3">
      <c r="A57" s="47"/>
      <c r="B57" s="47" t="s">
        <v>65</v>
      </c>
      <c r="C57" s="48">
        <v>46203</v>
      </c>
      <c r="D57" s="47" t="s">
        <v>448</v>
      </c>
      <c r="E57" s="58" t="s">
        <v>106</v>
      </c>
      <c r="F57" s="49">
        <v>28004.55</v>
      </c>
    </row>
    <row r="58" spans="1:6" x14ac:dyDescent="0.25">
      <c r="A58" s="47" t="s">
        <v>217</v>
      </c>
      <c r="B58" s="47"/>
      <c r="C58" s="48"/>
      <c r="D58" s="47"/>
      <c r="E58" s="58"/>
      <c r="F58" s="50">
        <f>ROUND(SUM(F55:F57),5)</f>
        <v>29427.32</v>
      </c>
    </row>
    <row r="59" spans="1:6" x14ac:dyDescent="0.25">
      <c r="A59" s="42" t="s">
        <v>218</v>
      </c>
      <c r="B59" s="42"/>
      <c r="C59" s="43"/>
      <c r="D59" s="42"/>
      <c r="E59" s="57"/>
      <c r="F59" s="44"/>
    </row>
    <row r="60" spans="1:6" x14ac:dyDescent="0.25">
      <c r="A60" s="47"/>
      <c r="B60" s="47" t="s">
        <v>65</v>
      </c>
      <c r="C60" s="48">
        <v>46097</v>
      </c>
      <c r="D60" s="47" t="s">
        <v>219</v>
      </c>
      <c r="E60" s="58" t="s">
        <v>220</v>
      </c>
      <c r="F60" s="50">
        <v>78.75</v>
      </c>
    </row>
    <row r="61" spans="1:6" x14ac:dyDescent="0.25">
      <c r="A61" s="47"/>
      <c r="B61" s="47" t="s">
        <v>65</v>
      </c>
      <c r="C61" s="48">
        <v>46112</v>
      </c>
      <c r="D61" s="47" t="s">
        <v>221</v>
      </c>
      <c r="E61" s="58" t="s">
        <v>220</v>
      </c>
      <c r="F61" s="50">
        <v>130.4</v>
      </c>
    </row>
    <row r="62" spans="1:6" x14ac:dyDescent="0.25">
      <c r="A62" s="47"/>
      <c r="B62" s="47" t="s">
        <v>65</v>
      </c>
      <c r="C62" s="48">
        <v>46142</v>
      </c>
      <c r="D62" s="47" t="s">
        <v>222</v>
      </c>
      <c r="E62" s="58" t="s">
        <v>220</v>
      </c>
      <c r="F62" s="50">
        <v>183.75</v>
      </c>
    </row>
    <row r="63" spans="1:6" x14ac:dyDescent="0.25">
      <c r="A63" s="47"/>
      <c r="B63" s="47" t="s">
        <v>65</v>
      </c>
      <c r="C63" s="48">
        <v>46173</v>
      </c>
      <c r="D63" s="47" t="s">
        <v>223</v>
      </c>
      <c r="E63" s="58" t="s">
        <v>220</v>
      </c>
      <c r="F63" s="50">
        <v>183.75</v>
      </c>
    </row>
    <row r="64" spans="1:6" x14ac:dyDescent="0.25">
      <c r="A64" s="47"/>
      <c r="B64" s="47" t="s">
        <v>65</v>
      </c>
      <c r="C64" s="48">
        <v>46184</v>
      </c>
      <c r="D64" s="47" t="s">
        <v>449</v>
      </c>
      <c r="E64" s="58" t="s">
        <v>151</v>
      </c>
      <c r="F64" s="50">
        <v>1664.96</v>
      </c>
    </row>
    <row r="65" spans="1:6" ht="15.6" thickBot="1" x14ac:dyDescent="0.3">
      <c r="A65" s="47"/>
      <c r="B65" s="47" t="s">
        <v>65</v>
      </c>
      <c r="C65" s="48">
        <v>46203</v>
      </c>
      <c r="D65" s="47" t="s">
        <v>450</v>
      </c>
      <c r="E65" s="58" t="s">
        <v>220</v>
      </c>
      <c r="F65" s="49">
        <v>91.88</v>
      </c>
    </row>
    <row r="66" spans="1:6" x14ac:dyDescent="0.25">
      <c r="A66" s="47" t="s">
        <v>224</v>
      </c>
      <c r="B66" s="47"/>
      <c r="C66" s="48"/>
      <c r="D66" s="47"/>
      <c r="E66" s="58"/>
      <c r="F66" s="50">
        <f>ROUND(SUM(F59:F65),5)</f>
        <v>2333.4899999999998</v>
      </c>
    </row>
    <row r="67" spans="1:6" x14ac:dyDescent="0.25">
      <c r="A67" s="42" t="s">
        <v>64</v>
      </c>
      <c r="B67" s="42"/>
      <c r="C67" s="43"/>
      <c r="D67" s="42"/>
      <c r="E67" s="57"/>
      <c r="F67" s="44"/>
    </row>
    <row r="68" spans="1:6" ht="15.6" thickBot="1" x14ac:dyDescent="0.3">
      <c r="A68" s="46"/>
      <c r="B68" s="47" t="s">
        <v>65</v>
      </c>
      <c r="C68" s="48">
        <v>45954</v>
      </c>
      <c r="D68" s="47" t="s">
        <v>225</v>
      </c>
      <c r="E68" s="58" t="s">
        <v>80</v>
      </c>
      <c r="F68" s="49">
        <v>918.75</v>
      </c>
    </row>
    <row r="69" spans="1:6" x14ac:dyDescent="0.25">
      <c r="A69" s="47" t="s">
        <v>66</v>
      </c>
      <c r="B69" s="47"/>
      <c r="C69" s="48"/>
      <c r="D69" s="47"/>
      <c r="E69" s="58"/>
      <c r="F69" s="50">
        <f>ROUND(SUM(F67:F68),5)</f>
        <v>918.75</v>
      </c>
    </row>
    <row r="70" spans="1:6" x14ac:dyDescent="0.25">
      <c r="A70" s="42" t="s">
        <v>485</v>
      </c>
      <c r="B70" s="42"/>
      <c r="C70" s="43"/>
      <c r="D70" s="42"/>
      <c r="E70" s="57"/>
      <c r="F70" s="44"/>
    </row>
    <row r="71" spans="1:6" ht="15.6" thickBot="1" x14ac:dyDescent="0.3">
      <c r="A71" s="46"/>
      <c r="B71" s="47" t="s">
        <v>227</v>
      </c>
      <c r="C71" s="48">
        <v>46073</v>
      </c>
      <c r="D71" s="47" t="s">
        <v>486</v>
      </c>
      <c r="E71" s="58" t="s">
        <v>83</v>
      </c>
      <c r="F71" s="49">
        <v>130.28</v>
      </c>
    </row>
    <row r="72" spans="1:6" x14ac:dyDescent="0.25">
      <c r="A72" s="47" t="s">
        <v>487</v>
      </c>
      <c r="B72" s="47"/>
      <c r="C72" s="48"/>
      <c r="D72" s="47"/>
      <c r="E72" s="58"/>
      <c r="F72" s="50">
        <f>ROUND(SUM(F70:F71),5)</f>
        <v>130.28</v>
      </c>
    </row>
    <row r="73" spans="1:6" x14ac:dyDescent="0.25">
      <c r="A73" s="42" t="s">
        <v>506</v>
      </c>
      <c r="B73" s="42"/>
      <c r="C73" s="43"/>
      <c r="D73" s="42"/>
      <c r="E73" s="57"/>
      <c r="F73" s="44"/>
    </row>
    <row r="74" spans="1:6" ht="15.6" thickBot="1" x14ac:dyDescent="0.3">
      <c r="A74" s="46"/>
      <c r="B74" s="47" t="s">
        <v>209</v>
      </c>
      <c r="C74" s="48">
        <v>46190</v>
      </c>
      <c r="D74" s="47"/>
      <c r="E74" s="58" t="s">
        <v>294</v>
      </c>
      <c r="F74" s="49">
        <v>132.38</v>
      </c>
    </row>
    <row r="75" spans="1:6" x14ac:dyDescent="0.25">
      <c r="A75" s="47" t="s">
        <v>507</v>
      </c>
      <c r="B75" s="47"/>
      <c r="C75" s="48"/>
      <c r="D75" s="47"/>
      <c r="E75" s="58"/>
      <c r="F75" s="50">
        <f>ROUND(SUM(F73:F74),5)</f>
        <v>132.38</v>
      </c>
    </row>
    <row r="76" spans="1:6" x14ac:dyDescent="0.25">
      <c r="A76" s="42" t="s">
        <v>226</v>
      </c>
      <c r="B76" s="42"/>
      <c r="C76" s="43"/>
      <c r="D76" s="42"/>
      <c r="E76" s="57"/>
      <c r="F76" s="44"/>
    </row>
    <row r="77" spans="1:6" x14ac:dyDescent="0.25">
      <c r="A77" s="47"/>
      <c r="B77" s="47" t="s">
        <v>227</v>
      </c>
      <c r="C77" s="48">
        <v>46169</v>
      </c>
      <c r="D77" s="47" t="s">
        <v>228</v>
      </c>
      <c r="E77" s="58" t="s">
        <v>93</v>
      </c>
      <c r="F77" s="50">
        <v>20000</v>
      </c>
    </row>
    <row r="78" spans="1:6" x14ac:dyDescent="0.25">
      <c r="A78" s="47"/>
      <c r="B78" s="47" t="s">
        <v>65</v>
      </c>
      <c r="C78" s="48">
        <v>46173</v>
      </c>
      <c r="D78" s="47"/>
      <c r="E78" s="58" t="s">
        <v>93</v>
      </c>
      <c r="F78" s="50">
        <v>23603.7</v>
      </c>
    </row>
    <row r="79" spans="1:6" ht="15.6" thickBot="1" x14ac:dyDescent="0.3">
      <c r="A79" s="47"/>
      <c r="B79" s="47" t="s">
        <v>65</v>
      </c>
      <c r="C79" s="48">
        <v>46173</v>
      </c>
      <c r="D79" s="47"/>
      <c r="E79" s="58" t="s">
        <v>94</v>
      </c>
      <c r="F79" s="49">
        <v>12383</v>
      </c>
    </row>
    <row r="80" spans="1:6" x14ac:dyDescent="0.25">
      <c r="A80" s="47" t="s">
        <v>229</v>
      </c>
      <c r="B80" s="47"/>
      <c r="C80" s="48"/>
      <c r="D80" s="47"/>
      <c r="E80" s="58"/>
      <c r="F80" s="50">
        <f>ROUND(SUM(F76:F79),5)</f>
        <v>55986.7</v>
      </c>
    </row>
    <row r="81" spans="1:6" x14ac:dyDescent="0.25">
      <c r="A81" s="42" t="s">
        <v>230</v>
      </c>
      <c r="B81" s="42"/>
      <c r="C81" s="43"/>
      <c r="D81" s="42"/>
      <c r="E81" s="57"/>
      <c r="F81" s="44"/>
    </row>
    <row r="82" spans="1:6" x14ac:dyDescent="0.25">
      <c r="A82" s="47"/>
      <c r="B82" s="47" t="s">
        <v>65</v>
      </c>
      <c r="C82" s="48">
        <v>46073</v>
      </c>
      <c r="D82" s="47" t="s">
        <v>231</v>
      </c>
      <c r="E82" s="58" t="s">
        <v>232</v>
      </c>
      <c r="F82" s="50">
        <v>9798.42</v>
      </c>
    </row>
    <row r="83" spans="1:6" x14ac:dyDescent="0.25">
      <c r="A83" s="47"/>
      <c r="B83" s="47" t="s">
        <v>65</v>
      </c>
      <c r="C83" s="48">
        <v>46084</v>
      </c>
      <c r="D83" s="47" t="s">
        <v>233</v>
      </c>
      <c r="E83" s="58" t="s">
        <v>232</v>
      </c>
      <c r="F83" s="50">
        <v>13751.36</v>
      </c>
    </row>
    <row r="84" spans="1:6" x14ac:dyDescent="0.25">
      <c r="A84" s="47"/>
      <c r="B84" s="47" t="s">
        <v>65</v>
      </c>
      <c r="C84" s="48">
        <v>46094</v>
      </c>
      <c r="D84" s="47" t="s">
        <v>234</v>
      </c>
      <c r="E84" s="58" t="s">
        <v>89</v>
      </c>
      <c r="F84" s="50">
        <v>5354.94</v>
      </c>
    </row>
    <row r="85" spans="1:6" ht="15.6" thickBot="1" x14ac:dyDescent="0.3">
      <c r="A85" s="47"/>
      <c r="B85" s="47" t="s">
        <v>65</v>
      </c>
      <c r="C85" s="48">
        <v>46192</v>
      </c>
      <c r="D85" s="47" t="s">
        <v>451</v>
      </c>
      <c r="E85" s="58" t="s">
        <v>88</v>
      </c>
      <c r="F85" s="49">
        <v>4074.01</v>
      </c>
    </row>
    <row r="86" spans="1:6" x14ac:dyDescent="0.25">
      <c r="A86" s="47" t="s">
        <v>235</v>
      </c>
      <c r="B86" s="47"/>
      <c r="C86" s="48"/>
      <c r="D86" s="47"/>
      <c r="E86" s="58"/>
      <c r="F86" s="50">
        <f>ROUND(SUM(F81:F85),5)</f>
        <v>32978.730000000003</v>
      </c>
    </row>
    <row r="87" spans="1:6" x14ac:dyDescent="0.25">
      <c r="A87" s="42" t="s">
        <v>236</v>
      </c>
      <c r="B87" s="42"/>
      <c r="C87" s="43"/>
      <c r="D87" s="42"/>
      <c r="E87" s="57"/>
      <c r="F87" s="44"/>
    </row>
    <row r="88" spans="1:6" ht="15.6" thickBot="1" x14ac:dyDescent="0.3">
      <c r="A88" s="46"/>
      <c r="B88" s="47" t="s">
        <v>65</v>
      </c>
      <c r="C88" s="48">
        <v>45961</v>
      </c>
      <c r="D88" s="47" t="s">
        <v>237</v>
      </c>
      <c r="E88" s="58" t="s">
        <v>568</v>
      </c>
      <c r="F88" s="49">
        <v>9246.2999999999993</v>
      </c>
    </row>
    <row r="89" spans="1:6" x14ac:dyDescent="0.25">
      <c r="A89" s="47" t="s">
        <v>238</v>
      </c>
      <c r="B89" s="47"/>
      <c r="C89" s="48"/>
      <c r="D89" s="47"/>
      <c r="E89" s="58"/>
      <c r="F89" s="50">
        <f>ROUND(SUM(F87:F88),5)</f>
        <v>9246.2999999999993</v>
      </c>
    </row>
    <row r="90" spans="1:6" x14ac:dyDescent="0.25">
      <c r="A90" s="42" t="s">
        <v>239</v>
      </c>
      <c r="B90" s="42"/>
      <c r="C90" s="43"/>
      <c r="D90" s="42"/>
      <c r="E90" s="57"/>
      <c r="F90" s="44"/>
    </row>
    <row r="91" spans="1:6" x14ac:dyDescent="0.25">
      <c r="A91" s="47"/>
      <c r="B91" s="47" t="s">
        <v>209</v>
      </c>
      <c r="C91" s="48">
        <v>46083</v>
      </c>
      <c r="D91" s="47"/>
      <c r="E91" s="58" t="s">
        <v>83</v>
      </c>
      <c r="F91" s="50">
        <v>292.89</v>
      </c>
    </row>
    <row r="92" spans="1:6" x14ac:dyDescent="0.25">
      <c r="A92" s="47"/>
      <c r="B92" s="47" t="s">
        <v>209</v>
      </c>
      <c r="C92" s="48">
        <v>46083</v>
      </c>
      <c r="D92" s="47"/>
      <c r="E92" s="58" t="s">
        <v>83</v>
      </c>
      <c r="F92" s="50">
        <v>256.66000000000003</v>
      </c>
    </row>
    <row r="93" spans="1:6" x14ac:dyDescent="0.25">
      <c r="A93" s="47"/>
      <c r="B93" s="47" t="s">
        <v>209</v>
      </c>
      <c r="C93" s="48">
        <v>46084</v>
      </c>
      <c r="D93" s="47"/>
      <c r="E93" s="58" t="s">
        <v>83</v>
      </c>
      <c r="F93" s="50">
        <v>287.68</v>
      </c>
    </row>
    <row r="94" spans="1:6" x14ac:dyDescent="0.25">
      <c r="A94" s="47"/>
      <c r="B94" s="47" t="s">
        <v>209</v>
      </c>
      <c r="C94" s="48">
        <v>46084</v>
      </c>
      <c r="D94" s="47"/>
      <c r="E94" s="58" t="s">
        <v>83</v>
      </c>
      <c r="F94" s="50">
        <v>284.2</v>
      </c>
    </row>
    <row r="95" spans="1:6" x14ac:dyDescent="0.25">
      <c r="A95" s="47"/>
      <c r="B95" s="47" t="s">
        <v>209</v>
      </c>
      <c r="C95" s="48">
        <v>46087</v>
      </c>
      <c r="D95" s="47"/>
      <c r="E95" s="58" t="s">
        <v>83</v>
      </c>
      <c r="F95" s="50">
        <v>282.04000000000002</v>
      </c>
    </row>
    <row r="96" spans="1:6" x14ac:dyDescent="0.25">
      <c r="A96" s="47"/>
      <c r="B96" s="47" t="s">
        <v>209</v>
      </c>
      <c r="C96" s="48">
        <v>46087</v>
      </c>
      <c r="D96" s="47"/>
      <c r="E96" s="58" t="s">
        <v>83</v>
      </c>
      <c r="F96" s="50">
        <v>288.55</v>
      </c>
    </row>
    <row r="97" spans="1:6" x14ac:dyDescent="0.25">
      <c r="A97" s="47"/>
      <c r="B97" s="47" t="s">
        <v>209</v>
      </c>
      <c r="C97" s="48">
        <v>46087</v>
      </c>
      <c r="D97" s="47"/>
      <c r="E97" s="58" t="s">
        <v>83</v>
      </c>
      <c r="F97" s="50">
        <v>294.2</v>
      </c>
    </row>
    <row r="98" spans="1:6" x14ac:dyDescent="0.25">
      <c r="A98" s="47"/>
      <c r="B98" s="47" t="s">
        <v>209</v>
      </c>
      <c r="C98" s="48">
        <v>46087</v>
      </c>
      <c r="D98" s="47"/>
      <c r="E98" s="58" t="s">
        <v>83</v>
      </c>
      <c r="F98" s="50">
        <v>574.92999999999995</v>
      </c>
    </row>
    <row r="99" spans="1:6" x14ac:dyDescent="0.25">
      <c r="A99" s="47"/>
      <c r="B99" s="47" t="s">
        <v>209</v>
      </c>
      <c r="C99" s="48">
        <v>46090</v>
      </c>
      <c r="D99" s="47"/>
      <c r="E99" s="58" t="s">
        <v>83</v>
      </c>
      <c r="F99" s="50">
        <v>295.94</v>
      </c>
    </row>
    <row r="100" spans="1:6" x14ac:dyDescent="0.25">
      <c r="A100" s="47"/>
      <c r="B100" s="47" t="s">
        <v>209</v>
      </c>
      <c r="C100" s="48">
        <v>46090</v>
      </c>
      <c r="D100" s="47"/>
      <c r="E100" s="58" t="s">
        <v>83</v>
      </c>
      <c r="F100" s="50">
        <v>296.37</v>
      </c>
    </row>
    <row r="101" spans="1:6" x14ac:dyDescent="0.25">
      <c r="A101" s="47"/>
      <c r="B101" s="47" t="s">
        <v>209</v>
      </c>
      <c r="C101" s="48">
        <v>46091</v>
      </c>
      <c r="D101" s="47"/>
      <c r="E101" s="58" t="s">
        <v>83</v>
      </c>
      <c r="F101" s="50">
        <v>290.27999999999997</v>
      </c>
    </row>
    <row r="102" spans="1:6" x14ac:dyDescent="0.25">
      <c r="A102" s="47"/>
      <c r="B102" s="47" t="s">
        <v>209</v>
      </c>
      <c r="C102" s="48">
        <v>46091</v>
      </c>
      <c r="D102" s="47"/>
      <c r="E102" s="58" t="s">
        <v>83</v>
      </c>
      <c r="F102" s="50">
        <v>296.37</v>
      </c>
    </row>
    <row r="103" spans="1:6" x14ac:dyDescent="0.25">
      <c r="A103" s="47"/>
      <c r="B103" s="47" t="s">
        <v>209</v>
      </c>
      <c r="C103" s="48">
        <v>46091</v>
      </c>
      <c r="D103" s="47"/>
      <c r="E103" s="58" t="s">
        <v>83</v>
      </c>
      <c r="F103" s="50">
        <v>282.04000000000002</v>
      </c>
    </row>
    <row r="104" spans="1:6" x14ac:dyDescent="0.25">
      <c r="A104" s="47"/>
      <c r="B104" s="47" t="s">
        <v>209</v>
      </c>
      <c r="C104" s="48">
        <v>46091</v>
      </c>
      <c r="D104" s="47"/>
      <c r="E104" s="58" t="s">
        <v>83</v>
      </c>
      <c r="F104" s="50">
        <v>283.33999999999997</v>
      </c>
    </row>
    <row r="105" spans="1:6" x14ac:dyDescent="0.25">
      <c r="A105" s="47"/>
      <c r="B105" s="47" t="s">
        <v>209</v>
      </c>
      <c r="C105" s="48">
        <v>46091</v>
      </c>
      <c r="D105" s="47"/>
      <c r="E105" s="58" t="s">
        <v>83</v>
      </c>
      <c r="F105" s="50">
        <v>286.38</v>
      </c>
    </row>
    <row r="106" spans="1:6" x14ac:dyDescent="0.25">
      <c r="A106" s="47"/>
      <c r="B106" s="47" t="s">
        <v>209</v>
      </c>
      <c r="C106" s="48">
        <v>46091</v>
      </c>
      <c r="D106" s="47"/>
      <c r="E106" s="58" t="s">
        <v>83</v>
      </c>
      <c r="F106" s="50">
        <v>290.27999999999997</v>
      </c>
    </row>
    <row r="107" spans="1:6" x14ac:dyDescent="0.25">
      <c r="A107" s="47"/>
      <c r="B107" s="47" t="s">
        <v>209</v>
      </c>
      <c r="C107" s="48">
        <v>46092</v>
      </c>
      <c r="D107" s="47"/>
      <c r="E107" s="58" t="s">
        <v>83</v>
      </c>
      <c r="F107" s="50">
        <v>272.47000000000003</v>
      </c>
    </row>
    <row r="108" spans="1:6" x14ac:dyDescent="0.25">
      <c r="A108" s="47"/>
      <c r="B108" s="47" t="s">
        <v>209</v>
      </c>
      <c r="C108" s="48">
        <v>46092</v>
      </c>
      <c r="D108" s="47"/>
      <c r="E108" s="58" t="s">
        <v>83</v>
      </c>
      <c r="F108" s="50">
        <v>280.3</v>
      </c>
    </row>
    <row r="109" spans="1:6" x14ac:dyDescent="0.25">
      <c r="A109" s="47"/>
      <c r="B109" s="47" t="s">
        <v>209</v>
      </c>
      <c r="C109" s="48">
        <v>46092</v>
      </c>
      <c r="D109" s="47"/>
      <c r="E109" s="58" t="s">
        <v>83</v>
      </c>
      <c r="F109" s="50">
        <v>283.33999999999997</v>
      </c>
    </row>
    <row r="110" spans="1:6" x14ac:dyDescent="0.25">
      <c r="A110" s="47"/>
      <c r="B110" s="47" t="s">
        <v>209</v>
      </c>
      <c r="C110" s="48">
        <v>46092</v>
      </c>
      <c r="D110" s="47"/>
      <c r="E110" s="58" t="s">
        <v>83</v>
      </c>
      <c r="F110" s="50">
        <v>286.81</v>
      </c>
    </row>
    <row r="111" spans="1:6" x14ac:dyDescent="0.25">
      <c r="A111" s="47"/>
      <c r="B111" s="47" t="s">
        <v>209</v>
      </c>
      <c r="C111" s="48">
        <v>46092</v>
      </c>
      <c r="D111" s="47"/>
      <c r="E111" s="58" t="s">
        <v>83</v>
      </c>
      <c r="F111" s="50">
        <v>302.02999999999997</v>
      </c>
    </row>
    <row r="112" spans="1:6" x14ac:dyDescent="0.25">
      <c r="A112" s="47"/>
      <c r="B112" s="47" t="s">
        <v>209</v>
      </c>
      <c r="C112" s="48">
        <v>46092</v>
      </c>
      <c r="D112" s="47"/>
      <c r="E112" s="58" t="s">
        <v>83</v>
      </c>
      <c r="F112" s="50">
        <v>302.45999999999998</v>
      </c>
    </row>
    <row r="113" spans="1:6" x14ac:dyDescent="0.25">
      <c r="A113" s="47"/>
      <c r="B113" s="47" t="s">
        <v>209</v>
      </c>
      <c r="C113" s="48">
        <v>46092</v>
      </c>
      <c r="D113" s="47"/>
      <c r="E113" s="58" t="s">
        <v>83</v>
      </c>
      <c r="F113" s="50">
        <v>305.93</v>
      </c>
    </row>
    <row r="114" spans="1:6" x14ac:dyDescent="0.25">
      <c r="A114" s="47"/>
      <c r="B114" s="47" t="s">
        <v>209</v>
      </c>
      <c r="C114" s="48">
        <v>46093</v>
      </c>
      <c r="D114" s="47"/>
      <c r="E114" s="58" t="s">
        <v>83</v>
      </c>
      <c r="F114" s="50">
        <v>570.15</v>
      </c>
    </row>
    <row r="115" spans="1:6" x14ac:dyDescent="0.25">
      <c r="A115" s="47"/>
      <c r="B115" s="47" t="s">
        <v>209</v>
      </c>
      <c r="C115" s="48">
        <v>46093</v>
      </c>
      <c r="D115" s="47"/>
      <c r="E115" s="58" t="s">
        <v>83</v>
      </c>
      <c r="F115" s="50">
        <v>560.58000000000004</v>
      </c>
    </row>
    <row r="116" spans="1:6" x14ac:dyDescent="0.25">
      <c r="A116" s="47"/>
      <c r="B116" s="47" t="s">
        <v>209</v>
      </c>
      <c r="C116" s="48">
        <v>46093</v>
      </c>
      <c r="D116" s="47"/>
      <c r="E116" s="58" t="s">
        <v>83</v>
      </c>
      <c r="F116" s="50">
        <v>489.1</v>
      </c>
    </row>
    <row r="117" spans="1:6" x14ac:dyDescent="0.25">
      <c r="A117" s="47"/>
      <c r="B117" s="47" t="s">
        <v>209</v>
      </c>
      <c r="C117" s="48">
        <v>46093</v>
      </c>
      <c r="D117" s="47"/>
      <c r="E117" s="58" t="s">
        <v>83</v>
      </c>
      <c r="F117" s="50">
        <v>476.22</v>
      </c>
    </row>
    <row r="118" spans="1:6" ht="15.6" thickBot="1" x14ac:dyDescent="0.3">
      <c r="A118" s="47"/>
      <c r="B118" s="47" t="s">
        <v>209</v>
      </c>
      <c r="C118" s="48">
        <v>46094</v>
      </c>
      <c r="D118" s="47"/>
      <c r="E118" s="58" t="s">
        <v>83</v>
      </c>
      <c r="F118" s="49">
        <v>486.07</v>
      </c>
    </row>
    <row r="119" spans="1:6" x14ac:dyDescent="0.25">
      <c r="A119" s="47" t="s">
        <v>240</v>
      </c>
      <c r="B119" s="47"/>
      <c r="C119" s="48"/>
      <c r="D119" s="47"/>
      <c r="E119" s="58"/>
      <c r="F119" s="50">
        <f>ROUND(SUM(F90:F118),5)</f>
        <v>9497.61</v>
      </c>
    </row>
    <row r="120" spans="1:6" x14ac:dyDescent="0.25">
      <c r="A120" s="42" t="s">
        <v>241</v>
      </c>
      <c r="B120" s="42"/>
      <c r="C120" s="43"/>
      <c r="D120" s="42"/>
      <c r="E120" s="57"/>
      <c r="F120" s="44"/>
    </row>
    <row r="121" spans="1:6" x14ac:dyDescent="0.25">
      <c r="A121" s="47"/>
      <c r="B121" s="47" t="s">
        <v>65</v>
      </c>
      <c r="C121" s="48">
        <v>46073</v>
      </c>
      <c r="D121" s="47" t="s">
        <v>242</v>
      </c>
      <c r="E121" s="58" t="s">
        <v>91</v>
      </c>
      <c r="F121" s="50">
        <v>1167.77</v>
      </c>
    </row>
    <row r="122" spans="1:6" x14ac:dyDescent="0.25">
      <c r="A122" s="47"/>
      <c r="B122" s="47" t="s">
        <v>65</v>
      </c>
      <c r="C122" s="48">
        <v>46084</v>
      </c>
      <c r="D122" s="47" t="s">
        <v>243</v>
      </c>
      <c r="E122" s="58" t="s">
        <v>91</v>
      </c>
      <c r="F122" s="50">
        <v>1317.12</v>
      </c>
    </row>
    <row r="123" spans="1:6" ht="15.6" thickBot="1" x14ac:dyDescent="0.3">
      <c r="A123" s="47"/>
      <c r="B123" s="47" t="s">
        <v>65</v>
      </c>
      <c r="C123" s="48">
        <v>46094</v>
      </c>
      <c r="D123" s="47" t="s">
        <v>244</v>
      </c>
      <c r="E123" s="58" t="s">
        <v>91</v>
      </c>
      <c r="F123" s="49">
        <v>1179.53</v>
      </c>
    </row>
    <row r="124" spans="1:6" x14ac:dyDescent="0.25">
      <c r="A124" s="47" t="s">
        <v>245</v>
      </c>
      <c r="B124" s="47"/>
      <c r="C124" s="48"/>
      <c r="D124" s="47"/>
      <c r="E124" s="58"/>
      <c r="F124" s="50">
        <f>ROUND(SUM(F120:F123),5)</f>
        <v>3664.42</v>
      </c>
    </row>
    <row r="125" spans="1:6" x14ac:dyDescent="0.25">
      <c r="A125" s="42" t="s">
        <v>452</v>
      </c>
      <c r="B125" s="42"/>
      <c r="C125" s="43"/>
      <c r="D125" s="42"/>
      <c r="E125" s="57"/>
      <c r="F125" s="44"/>
    </row>
    <row r="126" spans="1:6" x14ac:dyDescent="0.25">
      <c r="A126" s="47"/>
      <c r="B126" s="47" t="s">
        <v>65</v>
      </c>
      <c r="C126" s="48">
        <v>46197</v>
      </c>
      <c r="D126" s="47" t="s">
        <v>453</v>
      </c>
      <c r="E126" s="58" t="s">
        <v>494</v>
      </c>
      <c r="F126" s="50">
        <v>7333.67</v>
      </c>
    </row>
    <row r="127" spans="1:6" x14ac:dyDescent="0.25">
      <c r="A127" s="47"/>
      <c r="B127" s="47" t="s">
        <v>65</v>
      </c>
      <c r="C127" s="48">
        <v>46197</v>
      </c>
      <c r="D127" s="47" t="s">
        <v>454</v>
      </c>
      <c r="E127" s="58" t="s">
        <v>103</v>
      </c>
      <c r="F127" s="50">
        <v>37834.410000000003</v>
      </c>
    </row>
    <row r="128" spans="1:6" ht="15.6" thickBot="1" x14ac:dyDescent="0.3">
      <c r="A128" s="47"/>
      <c r="B128" s="47" t="s">
        <v>65</v>
      </c>
      <c r="C128" s="48">
        <v>46205</v>
      </c>
      <c r="D128" s="47" t="s">
        <v>508</v>
      </c>
      <c r="E128" s="58" t="s">
        <v>103</v>
      </c>
      <c r="F128" s="49">
        <v>17394.3</v>
      </c>
    </row>
    <row r="129" spans="1:6" x14ac:dyDescent="0.25">
      <c r="A129" s="47" t="s">
        <v>455</v>
      </c>
      <c r="B129" s="47"/>
      <c r="C129" s="48"/>
      <c r="D129" s="47"/>
      <c r="E129" s="58"/>
      <c r="F129" s="50">
        <f>ROUND(SUM(F125:F128),5)</f>
        <v>62562.38</v>
      </c>
    </row>
    <row r="130" spans="1:6" x14ac:dyDescent="0.25">
      <c r="A130" s="42" t="s">
        <v>246</v>
      </c>
      <c r="B130" s="42"/>
      <c r="C130" s="43"/>
      <c r="D130" s="42"/>
      <c r="E130" s="57"/>
      <c r="F130" s="44"/>
    </row>
    <row r="131" spans="1:6" x14ac:dyDescent="0.25">
      <c r="A131" s="47"/>
      <c r="B131" s="47" t="s">
        <v>65</v>
      </c>
      <c r="C131" s="48">
        <v>46073</v>
      </c>
      <c r="D131" s="47" t="s">
        <v>247</v>
      </c>
      <c r="E131" s="58" t="s">
        <v>84</v>
      </c>
      <c r="F131" s="50">
        <v>1743</v>
      </c>
    </row>
    <row r="132" spans="1:6" x14ac:dyDescent="0.25">
      <c r="A132" s="47"/>
      <c r="B132" s="47" t="s">
        <v>65</v>
      </c>
      <c r="C132" s="48">
        <v>46073</v>
      </c>
      <c r="D132" s="47" t="s">
        <v>248</v>
      </c>
      <c r="E132" s="58" t="s">
        <v>84</v>
      </c>
      <c r="F132" s="50">
        <v>646.21</v>
      </c>
    </row>
    <row r="133" spans="1:6" x14ac:dyDescent="0.25">
      <c r="A133" s="47"/>
      <c r="B133" s="47" t="s">
        <v>65</v>
      </c>
      <c r="C133" s="48">
        <v>46094</v>
      </c>
      <c r="D133" s="47" t="s">
        <v>249</v>
      </c>
      <c r="E133" s="58" t="s">
        <v>84</v>
      </c>
      <c r="F133" s="50">
        <v>459.38</v>
      </c>
    </row>
    <row r="134" spans="1:6" x14ac:dyDescent="0.25">
      <c r="A134" s="47"/>
      <c r="B134" s="47" t="s">
        <v>65</v>
      </c>
      <c r="C134" s="48">
        <v>46094</v>
      </c>
      <c r="D134" s="47" t="s">
        <v>250</v>
      </c>
      <c r="E134" s="58" t="s">
        <v>84</v>
      </c>
      <c r="F134" s="50">
        <v>1378.13</v>
      </c>
    </row>
    <row r="135" spans="1:6" x14ac:dyDescent="0.25">
      <c r="A135" s="47"/>
      <c r="B135" s="47" t="s">
        <v>65</v>
      </c>
      <c r="C135" s="48">
        <v>46094</v>
      </c>
      <c r="D135" s="47" t="s">
        <v>251</v>
      </c>
      <c r="E135" s="58" t="s">
        <v>84</v>
      </c>
      <c r="F135" s="50">
        <v>1378.13</v>
      </c>
    </row>
    <row r="136" spans="1:6" x14ac:dyDescent="0.25">
      <c r="A136" s="47"/>
      <c r="B136" s="47" t="s">
        <v>65</v>
      </c>
      <c r="C136" s="48">
        <v>46097</v>
      </c>
      <c r="D136" s="47" t="s">
        <v>252</v>
      </c>
      <c r="E136" s="58" t="s">
        <v>84</v>
      </c>
      <c r="F136" s="50">
        <v>315</v>
      </c>
    </row>
    <row r="137" spans="1:6" x14ac:dyDescent="0.25">
      <c r="A137" s="47"/>
      <c r="B137" s="47" t="s">
        <v>65</v>
      </c>
      <c r="C137" s="48">
        <v>46097</v>
      </c>
      <c r="D137" s="47" t="s">
        <v>253</v>
      </c>
      <c r="E137" s="58" t="s">
        <v>84</v>
      </c>
      <c r="F137" s="50">
        <v>921.38</v>
      </c>
    </row>
    <row r="138" spans="1:6" x14ac:dyDescent="0.25">
      <c r="A138" s="47"/>
      <c r="B138" s="47" t="s">
        <v>65</v>
      </c>
      <c r="C138" s="48">
        <v>46097</v>
      </c>
      <c r="D138" s="47" t="s">
        <v>254</v>
      </c>
      <c r="E138" s="58" t="s">
        <v>84</v>
      </c>
      <c r="F138" s="50">
        <v>1023.75</v>
      </c>
    </row>
    <row r="139" spans="1:6" x14ac:dyDescent="0.25">
      <c r="A139" s="47"/>
      <c r="B139" s="47" t="s">
        <v>65</v>
      </c>
      <c r="C139" s="48">
        <v>46097</v>
      </c>
      <c r="D139" s="47" t="s">
        <v>255</v>
      </c>
      <c r="E139" s="58" t="s">
        <v>84</v>
      </c>
      <c r="F139" s="50">
        <v>918.75</v>
      </c>
    </row>
    <row r="140" spans="1:6" x14ac:dyDescent="0.25">
      <c r="A140" s="47"/>
      <c r="B140" s="47" t="s">
        <v>65</v>
      </c>
      <c r="C140" s="48">
        <v>46097</v>
      </c>
      <c r="D140" s="47" t="s">
        <v>256</v>
      </c>
      <c r="E140" s="58" t="s">
        <v>84</v>
      </c>
      <c r="F140" s="50">
        <v>876.75</v>
      </c>
    </row>
    <row r="141" spans="1:6" x14ac:dyDescent="0.25">
      <c r="A141" s="47"/>
      <c r="B141" s="47" t="s">
        <v>65</v>
      </c>
      <c r="C141" s="48">
        <v>46125</v>
      </c>
      <c r="D141" s="47" t="s">
        <v>257</v>
      </c>
      <c r="E141" s="58" t="s">
        <v>84</v>
      </c>
      <c r="F141" s="50">
        <v>4432.58</v>
      </c>
    </row>
    <row r="142" spans="1:6" x14ac:dyDescent="0.25">
      <c r="A142" s="47"/>
      <c r="B142" s="47" t="s">
        <v>65</v>
      </c>
      <c r="C142" s="48">
        <v>46125</v>
      </c>
      <c r="D142" s="47" t="s">
        <v>258</v>
      </c>
      <c r="E142" s="58" t="s">
        <v>84</v>
      </c>
      <c r="F142" s="50">
        <v>2210.25</v>
      </c>
    </row>
    <row r="143" spans="1:6" x14ac:dyDescent="0.25">
      <c r="A143" s="47"/>
      <c r="B143" s="47" t="s">
        <v>65</v>
      </c>
      <c r="C143" s="48">
        <v>46125</v>
      </c>
      <c r="D143" s="47" t="s">
        <v>259</v>
      </c>
      <c r="E143" s="58" t="s">
        <v>84</v>
      </c>
      <c r="F143" s="50">
        <v>4320.75</v>
      </c>
    </row>
    <row r="144" spans="1:6" x14ac:dyDescent="0.25">
      <c r="A144" s="47"/>
      <c r="B144" s="47" t="s">
        <v>65</v>
      </c>
      <c r="C144" s="48">
        <v>46125</v>
      </c>
      <c r="D144" s="47" t="s">
        <v>260</v>
      </c>
      <c r="E144" s="58" t="s">
        <v>84</v>
      </c>
      <c r="F144" s="50">
        <v>2793</v>
      </c>
    </row>
    <row r="145" spans="1:6" x14ac:dyDescent="0.25">
      <c r="A145" s="47"/>
      <c r="B145" s="47" t="s">
        <v>65</v>
      </c>
      <c r="C145" s="48">
        <v>46125</v>
      </c>
      <c r="D145" s="47" t="s">
        <v>261</v>
      </c>
      <c r="E145" s="58" t="s">
        <v>84</v>
      </c>
      <c r="F145" s="50">
        <v>2449.13</v>
      </c>
    </row>
    <row r="146" spans="1:6" x14ac:dyDescent="0.25">
      <c r="A146" s="47"/>
      <c r="B146" s="47" t="s">
        <v>65</v>
      </c>
      <c r="C146" s="48">
        <v>46125</v>
      </c>
      <c r="D146" s="47" t="s">
        <v>262</v>
      </c>
      <c r="E146" s="58" t="s">
        <v>84</v>
      </c>
      <c r="F146" s="50">
        <v>472.5</v>
      </c>
    </row>
    <row r="147" spans="1:6" x14ac:dyDescent="0.25">
      <c r="A147" s="47"/>
      <c r="B147" s="47" t="s">
        <v>65</v>
      </c>
      <c r="C147" s="48">
        <v>46129</v>
      </c>
      <c r="D147" s="47" t="s">
        <v>263</v>
      </c>
      <c r="E147" s="58" t="s">
        <v>84</v>
      </c>
      <c r="F147" s="50">
        <v>763.17</v>
      </c>
    </row>
    <row r="148" spans="1:6" x14ac:dyDescent="0.25">
      <c r="A148" s="47"/>
      <c r="B148" s="47" t="s">
        <v>65</v>
      </c>
      <c r="C148" s="48">
        <v>46171</v>
      </c>
      <c r="D148" s="47" t="s">
        <v>264</v>
      </c>
      <c r="E148" s="58" t="s">
        <v>84</v>
      </c>
      <c r="F148" s="50">
        <v>1372.88</v>
      </c>
    </row>
    <row r="149" spans="1:6" x14ac:dyDescent="0.25">
      <c r="A149" s="47"/>
      <c r="B149" s="47" t="s">
        <v>65</v>
      </c>
      <c r="C149" s="48">
        <v>46191</v>
      </c>
      <c r="D149" s="47" t="s">
        <v>456</v>
      </c>
      <c r="E149" s="58" t="s">
        <v>84</v>
      </c>
      <c r="F149" s="50">
        <v>1286.25</v>
      </c>
    </row>
    <row r="150" spans="1:6" x14ac:dyDescent="0.25">
      <c r="A150" s="47"/>
      <c r="B150" s="47" t="s">
        <v>65</v>
      </c>
      <c r="C150" s="48">
        <v>46191</v>
      </c>
      <c r="D150" s="47" t="s">
        <v>457</v>
      </c>
      <c r="E150" s="58" t="s">
        <v>84</v>
      </c>
      <c r="F150" s="50">
        <v>2520</v>
      </c>
    </row>
    <row r="151" spans="1:6" x14ac:dyDescent="0.25">
      <c r="A151" s="47"/>
      <c r="B151" s="47" t="s">
        <v>65</v>
      </c>
      <c r="C151" s="48">
        <v>46191</v>
      </c>
      <c r="D151" s="47" t="s">
        <v>458</v>
      </c>
      <c r="E151" s="58" t="s">
        <v>84</v>
      </c>
      <c r="F151" s="50">
        <v>441</v>
      </c>
    </row>
    <row r="152" spans="1:6" x14ac:dyDescent="0.25">
      <c r="A152" s="47"/>
      <c r="B152" s="47" t="s">
        <v>65</v>
      </c>
      <c r="C152" s="48">
        <v>46205</v>
      </c>
      <c r="D152" s="47" t="s">
        <v>509</v>
      </c>
      <c r="E152" s="58" t="s">
        <v>84</v>
      </c>
      <c r="F152" s="50">
        <v>1619.63</v>
      </c>
    </row>
    <row r="153" spans="1:6" x14ac:dyDescent="0.25">
      <c r="A153" s="47"/>
      <c r="B153" s="47" t="s">
        <v>65</v>
      </c>
      <c r="C153" s="48">
        <v>46205</v>
      </c>
      <c r="D153" s="47" t="s">
        <v>510</v>
      </c>
      <c r="E153" s="58" t="s">
        <v>84</v>
      </c>
      <c r="F153" s="50">
        <v>3064.37</v>
      </c>
    </row>
    <row r="154" spans="1:6" x14ac:dyDescent="0.25">
      <c r="A154" s="47"/>
      <c r="B154" s="47" t="s">
        <v>65</v>
      </c>
      <c r="C154" s="48">
        <v>46205</v>
      </c>
      <c r="D154" s="47" t="s">
        <v>511</v>
      </c>
      <c r="E154" s="58" t="s">
        <v>84</v>
      </c>
      <c r="F154" s="50">
        <v>700.88</v>
      </c>
    </row>
    <row r="155" spans="1:6" x14ac:dyDescent="0.25">
      <c r="A155" s="47"/>
      <c r="B155" s="47" t="s">
        <v>65</v>
      </c>
      <c r="C155" s="48">
        <v>46205</v>
      </c>
      <c r="D155" s="47" t="s">
        <v>512</v>
      </c>
      <c r="E155" s="58" t="s">
        <v>84</v>
      </c>
      <c r="F155" s="50">
        <v>3671.35</v>
      </c>
    </row>
    <row r="156" spans="1:6" x14ac:dyDescent="0.25">
      <c r="A156" s="47"/>
      <c r="B156" s="47" t="s">
        <v>65</v>
      </c>
      <c r="C156" s="48">
        <v>46220</v>
      </c>
      <c r="D156" s="47" t="s">
        <v>513</v>
      </c>
      <c r="E156" s="58" t="s">
        <v>84</v>
      </c>
      <c r="F156" s="50">
        <v>2638.13</v>
      </c>
    </row>
    <row r="157" spans="1:6" x14ac:dyDescent="0.25">
      <c r="A157" s="47"/>
      <c r="B157" s="47" t="s">
        <v>65</v>
      </c>
      <c r="C157" s="48">
        <v>46230</v>
      </c>
      <c r="D157" s="47" t="s">
        <v>514</v>
      </c>
      <c r="E157" s="58" t="s">
        <v>84</v>
      </c>
      <c r="F157" s="50">
        <v>467.25</v>
      </c>
    </row>
    <row r="158" spans="1:6" x14ac:dyDescent="0.25">
      <c r="A158" s="47"/>
      <c r="B158" s="47" t="s">
        <v>65</v>
      </c>
      <c r="C158" s="48">
        <v>46230</v>
      </c>
      <c r="D158" s="47" t="s">
        <v>515</v>
      </c>
      <c r="E158" s="58" t="s">
        <v>84</v>
      </c>
      <c r="F158" s="50">
        <v>1659</v>
      </c>
    </row>
    <row r="159" spans="1:6" x14ac:dyDescent="0.25">
      <c r="A159" s="47"/>
      <c r="B159" s="47" t="s">
        <v>65</v>
      </c>
      <c r="C159" s="48">
        <v>46230</v>
      </c>
      <c r="D159" s="47" t="s">
        <v>516</v>
      </c>
      <c r="E159" s="58" t="s">
        <v>84</v>
      </c>
      <c r="F159" s="50">
        <v>2604.8200000000002</v>
      </c>
    </row>
    <row r="160" spans="1:6" x14ac:dyDescent="0.25">
      <c r="A160" s="47"/>
      <c r="B160" s="47" t="s">
        <v>65</v>
      </c>
      <c r="C160" s="48">
        <v>46230</v>
      </c>
      <c r="D160" s="47" t="s">
        <v>517</v>
      </c>
      <c r="E160" s="58" t="s">
        <v>84</v>
      </c>
      <c r="F160" s="50">
        <v>2307.38</v>
      </c>
    </row>
    <row r="161" spans="1:6" x14ac:dyDescent="0.25">
      <c r="A161" s="47"/>
      <c r="B161" s="47" t="s">
        <v>65</v>
      </c>
      <c r="C161" s="48">
        <v>46230</v>
      </c>
      <c r="D161" s="47" t="s">
        <v>518</v>
      </c>
      <c r="E161" s="58" t="s">
        <v>84</v>
      </c>
      <c r="F161" s="50">
        <v>1672.71</v>
      </c>
    </row>
    <row r="162" spans="1:6" ht="15.6" thickBot="1" x14ac:dyDescent="0.3">
      <c r="A162" s="47"/>
      <c r="B162" s="47" t="s">
        <v>65</v>
      </c>
      <c r="C162" s="48">
        <v>46230</v>
      </c>
      <c r="D162" s="47" t="s">
        <v>519</v>
      </c>
      <c r="E162" s="58" t="s">
        <v>84</v>
      </c>
      <c r="F162" s="49">
        <v>1270.5</v>
      </c>
    </row>
    <row r="163" spans="1:6" x14ac:dyDescent="0.25">
      <c r="A163" s="47" t="s">
        <v>265</v>
      </c>
      <c r="B163" s="47"/>
      <c r="C163" s="48"/>
      <c r="D163" s="47"/>
      <c r="E163" s="58"/>
      <c r="F163" s="50">
        <f>ROUND(SUM(F130:F162),5)</f>
        <v>54398.01</v>
      </c>
    </row>
    <row r="164" spans="1:6" x14ac:dyDescent="0.25">
      <c r="A164" s="42" t="s">
        <v>67</v>
      </c>
      <c r="B164" s="42"/>
      <c r="C164" s="43"/>
      <c r="D164" s="42"/>
      <c r="E164" s="57"/>
      <c r="F164" s="44"/>
    </row>
    <row r="165" spans="1:6" x14ac:dyDescent="0.25">
      <c r="A165" s="47"/>
      <c r="B165" s="47" t="s">
        <v>65</v>
      </c>
      <c r="C165" s="48">
        <v>46085</v>
      </c>
      <c r="D165" s="47" t="s">
        <v>266</v>
      </c>
      <c r="E165" s="58" t="s">
        <v>81</v>
      </c>
      <c r="F165" s="50">
        <v>3447.82</v>
      </c>
    </row>
    <row r="166" spans="1:6" x14ac:dyDescent="0.25">
      <c r="A166" s="47"/>
      <c r="B166" s="47" t="s">
        <v>65</v>
      </c>
      <c r="C166" s="48">
        <v>46148</v>
      </c>
      <c r="D166" s="47" t="s">
        <v>267</v>
      </c>
      <c r="E166" s="58" t="s">
        <v>81</v>
      </c>
      <c r="F166" s="50">
        <v>231.53</v>
      </c>
    </row>
    <row r="167" spans="1:6" x14ac:dyDescent="0.25">
      <c r="A167" s="47"/>
      <c r="B167" s="47" t="s">
        <v>65</v>
      </c>
      <c r="C167" s="48">
        <v>46181</v>
      </c>
      <c r="D167" s="47" t="s">
        <v>459</v>
      </c>
      <c r="E167" s="58" t="s">
        <v>81</v>
      </c>
      <c r="F167" s="50">
        <v>807.98</v>
      </c>
    </row>
    <row r="168" spans="1:6" x14ac:dyDescent="0.25">
      <c r="A168" s="47"/>
      <c r="B168" s="47" t="s">
        <v>65</v>
      </c>
      <c r="C168" s="48">
        <v>46209</v>
      </c>
      <c r="D168" s="47" t="s">
        <v>520</v>
      </c>
      <c r="E168" s="58" t="s">
        <v>81</v>
      </c>
      <c r="F168" s="50">
        <v>3484.54</v>
      </c>
    </row>
    <row r="169" spans="1:6" ht="15.6" thickBot="1" x14ac:dyDescent="0.3">
      <c r="A169" s="47"/>
      <c r="B169" s="47" t="s">
        <v>65</v>
      </c>
      <c r="C169" s="48">
        <v>46209</v>
      </c>
      <c r="D169" s="47" t="s">
        <v>521</v>
      </c>
      <c r="E169" s="58" t="s">
        <v>81</v>
      </c>
      <c r="F169" s="49">
        <v>63.26</v>
      </c>
    </row>
    <row r="170" spans="1:6" x14ac:dyDescent="0.25">
      <c r="A170" s="47" t="s">
        <v>68</v>
      </c>
      <c r="B170" s="47"/>
      <c r="C170" s="48"/>
      <c r="D170" s="47"/>
      <c r="E170" s="58"/>
      <c r="F170" s="50">
        <f>ROUND(SUM(F164:F169),5)</f>
        <v>8035.13</v>
      </c>
    </row>
    <row r="171" spans="1:6" x14ac:dyDescent="0.25">
      <c r="A171" s="42" t="s">
        <v>268</v>
      </c>
      <c r="B171" s="42"/>
      <c r="C171" s="43"/>
      <c r="D171" s="42"/>
      <c r="E171" s="57"/>
      <c r="F171" s="44"/>
    </row>
    <row r="172" spans="1:6" x14ac:dyDescent="0.25">
      <c r="A172" s="47"/>
      <c r="B172" s="47" t="s">
        <v>209</v>
      </c>
      <c r="C172" s="48">
        <v>46088</v>
      </c>
      <c r="D172" s="47"/>
      <c r="E172" s="58" t="s">
        <v>84</v>
      </c>
      <c r="F172" s="50">
        <v>42.76</v>
      </c>
    </row>
    <row r="173" spans="1:6" x14ac:dyDescent="0.25">
      <c r="A173" s="47"/>
      <c r="B173" s="47" t="s">
        <v>209</v>
      </c>
      <c r="C173" s="48">
        <v>46101</v>
      </c>
      <c r="D173" s="47" t="s">
        <v>269</v>
      </c>
      <c r="E173" s="58" t="s">
        <v>84</v>
      </c>
      <c r="F173" s="50">
        <v>79.05</v>
      </c>
    </row>
    <row r="174" spans="1:6" x14ac:dyDescent="0.25">
      <c r="A174" s="47"/>
      <c r="B174" s="47" t="s">
        <v>209</v>
      </c>
      <c r="C174" s="48">
        <v>46107</v>
      </c>
      <c r="D174" s="47" t="s">
        <v>270</v>
      </c>
      <c r="E174" s="58" t="s">
        <v>84</v>
      </c>
      <c r="F174" s="50">
        <v>83.16</v>
      </c>
    </row>
    <row r="175" spans="1:6" x14ac:dyDescent="0.25">
      <c r="A175" s="47"/>
      <c r="B175" s="47" t="s">
        <v>209</v>
      </c>
      <c r="C175" s="48">
        <v>46117</v>
      </c>
      <c r="D175" s="47"/>
      <c r="E175" s="58" t="s">
        <v>84</v>
      </c>
      <c r="F175" s="50">
        <v>10.19</v>
      </c>
    </row>
    <row r="176" spans="1:6" ht="15.6" thickBot="1" x14ac:dyDescent="0.3">
      <c r="A176" s="47"/>
      <c r="B176" s="47" t="s">
        <v>209</v>
      </c>
      <c r="C176" s="48">
        <v>46120</v>
      </c>
      <c r="D176" s="47" t="s">
        <v>271</v>
      </c>
      <c r="E176" s="58" t="s">
        <v>84</v>
      </c>
      <c r="F176" s="49">
        <v>78.349999999999994</v>
      </c>
    </row>
    <row r="177" spans="1:6" x14ac:dyDescent="0.25">
      <c r="A177" s="47" t="s">
        <v>272</v>
      </c>
      <c r="B177" s="47"/>
      <c r="C177" s="48"/>
      <c r="D177" s="47"/>
      <c r="E177" s="58"/>
      <c r="F177" s="50">
        <f>ROUND(SUM(F171:F176),5)</f>
        <v>293.51</v>
      </c>
    </row>
    <row r="178" spans="1:6" x14ac:dyDescent="0.25">
      <c r="A178" s="42" t="s">
        <v>522</v>
      </c>
      <c r="B178" s="42"/>
      <c r="C178" s="43"/>
      <c r="D178" s="42"/>
      <c r="E178" s="57"/>
      <c r="F178" s="44"/>
    </row>
    <row r="179" spans="1:6" ht="15.6" thickBot="1" x14ac:dyDescent="0.3">
      <c r="A179" s="46"/>
      <c r="B179" s="47" t="s">
        <v>227</v>
      </c>
      <c r="C179" s="48">
        <v>46226</v>
      </c>
      <c r="D179" s="47" t="s">
        <v>502</v>
      </c>
      <c r="E179" s="58" t="s">
        <v>567</v>
      </c>
      <c r="F179" s="49">
        <v>450</v>
      </c>
    </row>
    <row r="180" spans="1:6" x14ac:dyDescent="0.25">
      <c r="A180" s="47" t="s">
        <v>523</v>
      </c>
      <c r="B180" s="47"/>
      <c r="C180" s="48"/>
      <c r="D180" s="47"/>
      <c r="E180" s="58"/>
      <c r="F180" s="50">
        <f>ROUND(SUM(F178:F179),5)</f>
        <v>450</v>
      </c>
    </row>
    <row r="181" spans="1:6" x14ac:dyDescent="0.25">
      <c r="A181" s="42" t="s">
        <v>273</v>
      </c>
      <c r="B181" s="42"/>
      <c r="C181" s="43"/>
      <c r="D181" s="42"/>
      <c r="E181" s="57"/>
      <c r="F181" s="44"/>
    </row>
    <row r="182" spans="1:6" ht="15.6" thickBot="1" x14ac:dyDescent="0.3">
      <c r="A182" s="46"/>
      <c r="B182" s="47" t="s">
        <v>65</v>
      </c>
      <c r="C182" s="48">
        <v>46097</v>
      </c>
      <c r="D182" s="47" t="s">
        <v>274</v>
      </c>
      <c r="E182" s="58" t="s">
        <v>86</v>
      </c>
      <c r="F182" s="49">
        <v>15750</v>
      </c>
    </row>
    <row r="183" spans="1:6" x14ac:dyDescent="0.25">
      <c r="A183" s="47" t="s">
        <v>275</v>
      </c>
      <c r="B183" s="47"/>
      <c r="C183" s="48"/>
      <c r="D183" s="47"/>
      <c r="E183" s="58"/>
      <c r="F183" s="50">
        <f>ROUND(SUM(F181:F182),5)</f>
        <v>15750</v>
      </c>
    </row>
    <row r="184" spans="1:6" x14ac:dyDescent="0.25">
      <c r="A184" s="42" t="s">
        <v>69</v>
      </c>
      <c r="B184" s="42"/>
      <c r="C184" s="43"/>
      <c r="D184" s="42"/>
      <c r="E184" s="57"/>
      <c r="F184" s="44"/>
    </row>
    <row r="185" spans="1:6" x14ac:dyDescent="0.25">
      <c r="A185" s="47"/>
      <c r="B185" s="47" t="s">
        <v>65</v>
      </c>
      <c r="C185" s="48">
        <v>46038</v>
      </c>
      <c r="D185" s="47" t="s">
        <v>276</v>
      </c>
      <c r="E185" s="58" t="s">
        <v>85</v>
      </c>
      <c r="F185" s="50">
        <v>1890</v>
      </c>
    </row>
    <row r="186" spans="1:6" ht="15.6" thickBot="1" x14ac:dyDescent="0.3">
      <c r="A186" s="47"/>
      <c r="B186" s="47" t="s">
        <v>65</v>
      </c>
      <c r="C186" s="48">
        <v>46038</v>
      </c>
      <c r="D186" s="47" t="s">
        <v>276</v>
      </c>
      <c r="E186" s="58" t="s">
        <v>85</v>
      </c>
      <c r="F186" s="49">
        <v>-94.5</v>
      </c>
    </row>
    <row r="187" spans="1:6" x14ac:dyDescent="0.25">
      <c r="A187" s="47" t="s">
        <v>70</v>
      </c>
      <c r="B187" s="47"/>
      <c r="C187" s="48"/>
      <c r="D187" s="47"/>
      <c r="E187" s="58"/>
      <c r="F187" s="50">
        <f>ROUND(SUM(F184:F186),5)</f>
        <v>1795.5</v>
      </c>
    </row>
    <row r="188" spans="1:6" x14ac:dyDescent="0.25">
      <c r="A188" s="42" t="s">
        <v>524</v>
      </c>
      <c r="B188" s="42"/>
      <c r="C188" s="43"/>
      <c r="D188" s="42"/>
      <c r="E188" s="57"/>
      <c r="F188" s="44"/>
    </row>
    <row r="189" spans="1:6" x14ac:dyDescent="0.25">
      <c r="A189" s="47"/>
      <c r="B189" s="47" t="s">
        <v>65</v>
      </c>
      <c r="C189" s="48">
        <v>46203</v>
      </c>
      <c r="D189" s="47"/>
      <c r="E189" s="58" t="s">
        <v>567</v>
      </c>
      <c r="F189" s="50">
        <v>210</v>
      </c>
    </row>
    <row r="190" spans="1:6" ht="15.6" thickBot="1" x14ac:dyDescent="0.3">
      <c r="A190" s="47"/>
      <c r="B190" s="47" t="s">
        <v>65</v>
      </c>
      <c r="C190" s="48">
        <v>46220</v>
      </c>
      <c r="D190" s="47"/>
      <c r="E190" s="58" t="s">
        <v>567</v>
      </c>
      <c r="F190" s="49">
        <v>175</v>
      </c>
    </row>
    <row r="191" spans="1:6" x14ac:dyDescent="0.25">
      <c r="A191" s="47" t="s">
        <v>525</v>
      </c>
      <c r="B191" s="47"/>
      <c r="C191" s="48"/>
      <c r="D191" s="47"/>
      <c r="E191" s="58"/>
      <c r="F191" s="50">
        <f>ROUND(SUM(F188:F190),5)</f>
        <v>385</v>
      </c>
    </row>
    <row r="192" spans="1:6" x14ac:dyDescent="0.25">
      <c r="A192" s="42" t="s">
        <v>526</v>
      </c>
      <c r="B192" s="42"/>
      <c r="C192" s="43"/>
      <c r="D192" s="42"/>
      <c r="E192" s="57"/>
      <c r="F192" s="44"/>
    </row>
    <row r="193" spans="1:6" ht="15.6" thickBot="1" x14ac:dyDescent="0.3">
      <c r="A193" s="46"/>
      <c r="B193" s="47" t="s">
        <v>65</v>
      </c>
      <c r="C193" s="48">
        <v>46226</v>
      </c>
      <c r="D193" s="47" t="s">
        <v>527</v>
      </c>
      <c r="E193" s="58" t="s">
        <v>165</v>
      </c>
      <c r="F193" s="49">
        <v>89461.6</v>
      </c>
    </row>
    <row r="194" spans="1:6" x14ac:dyDescent="0.25">
      <c r="A194" s="47" t="s">
        <v>528</v>
      </c>
      <c r="B194" s="47"/>
      <c r="C194" s="48"/>
      <c r="D194" s="47"/>
      <c r="E194" s="58"/>
      <c r="F194" s="50">
        <f>ROUND(SUM(F192:F193),5)</f>
        <v>89461.6</v>
      </c>
    </row>
    <row r="195" spans="1:6" x14ac:dyDescent="0.25">
      <c r="A195" s="42" t="s">
        <v>71</v>
      </c>
      <c r="B195" s="42"/>
      <c r="C195" s="43"/>
      <c r="D195" s="42"/>
      <c r="E195" s="57"/>
      <c r="F195" s="44"/>
    </row>
    <row r="196" spans="1:6" x14ac:dyDescent="0.25">
      <c r="A196" s="47"/>
      <c r="B196" s="47" t="s">
        <v>65</v>
      </c>
      <c r="C196" s="48">
        <v>46091</v>
      </c>
      <c r="D196" s="47" t="s">
        <v>277</v>
      </c>
      <c r="E196" s="58" t="s">
        <v>278</v>
      </c>
      <c r="F196" s="50">
        <v>289.17</v>
      </c>
    </row>
    <row r="197" spans="1:6" x14ac:dyDescent="0.25">
      <c r="A197" s="47"/>
      <c r="B197" s="47" t="s">
        <v>65</v>
      </c>
      <c r="C197" s="48">
        <v>46122</v>
      </c>
      <c r="D197" s="47" t="s">
        <v>279</v>
      </c>
      <c r="E197" s="58" t="s">
        <v>278</v>
      </c>
      <c r="F197" s="50">
        <v>152.66999999999999</v>
      </c>
    </row>
    <row r="198" spans="1:6" x14ac:dyDescent="0.25">
      <c r="A198" s="47"/>
      <c r="B198" s="47" t="s">
        <v>65</v>
      </c>
      <c r="C198" s="48">
        <v>46153</v>
      </c>
      <c r="D198" s="47" t="s">
        <v>280</v>
      </c>
      <c r="E198" s="58" t="s">
        <v>278</v>
      </c>
      <c r="F198" s="50">
        <v>305.33999999999997</v>
      </c>
    </row>
    <row r="199" spans="1:6" ht="15.6" thickBot="1" x14ac:dyDescent="0.3">
      <c r="A199" s="47"/>
      <c r="B199" s="47" t="s">
        <v>65</v>
      </c>
      <c r="C199" s="48">
        <v>46213</v>
      </c>
      <c r="D199" s="47" t="s">
        <v>529</v>
      </c>
      <c r="E199" s="58" t="s">
        <v>278</v>
      </c>
      <c r="F199" s="49">
        <v>136.5</v>
      </c>
    </row>
    <row r="200" spans="1:6" x14ac:dyDescent="0.25">
      <c r="A200" s="47" t="s">
        <v>72</v>
      </c>
      <c r="B200" s="47"/>
      <c r="C200" s="48"/>
      <c r="D200" s="47"/>
      <c r="E200" s="58"/>
      <c r="F200" s="50">
        <f>ROUND(SUM(F195:F199),5)</f>
        <v>883.68</v>
      </c>
    </row>
    <row r="201" spans="1:6" x14ac:dyDescent="0.25">
      <c r="A201" s="42" t="s">
        <v>281</v>
      </c>
      <c r="B201" s="42"/>
      <c r="C201" s="43"/>
      <c r="D201" s="42"/>
      <c r="E201" s="57"/>
      <c r="F201" s="44"/>
    </row>
    <row r="202" spans="1:6" ht="15.6" thickBot="1" x14ac:dyDescent="0.3">
      <c r="A202" s="46"/>
      <c r="B202" s="47" t="s">
        <v>65</v>
      </c>
      <c r="C202" s="48">
        <v>46084</v>
      </c>
      <c r="D202" s="47" t="s">
        <v>282</v>
      </c>
      <c r="E202" s="58" t="s">
        <v>159</v>
      </c>
      <c r="F202" s="49">
        <v>4450</v>
      </c>
    </row>
    <row r="203" spans="1:6" x14ac:dyDescent="0.25">
      <c r="A203" s="47" t="s">
        <v>283</v>
      </c>
      <c r="B203" s="47"/>
      <c r="C203" s="48"/>
      <c r="D203" s="47"/>
      <c r="E203" s="58"/>
      <c r="F203" s="50">
        <f>ROUND(SUM(F201:F202),5)</f>
        <v>4450</v>
      </c>
    </row>
    <row r="204" spans="1:6" x14ac:dyDescent="0.25">
      <c r="A204" s="42" t="s">
        <v>284</v>
      </c>
      <c r="B204" s="42"/>
      <c r="C204" s="43"/>
      <c r="D204" s="42"/>
      <c r="E204" s="57"/>
      <c r="F204" s="44"/>
    </row>
    <row r="205" spans="1:6" ht="15.6" thickBot="1" x14ac:dyDescent="0.3">
      <c r="A205" s="46"/>
      <c r="B205" s="47" t="s">
        <v>209</v>
      </c>
      <c r="C205" s="48">
        <v>46094</v>
      </c>
      <c r="D205" s="47"/>
      <c r="E205" s="58" t="s">
        <v>216</v>
      </c>
      <c r="F205" s="49">
        <v>12.61</v>
      </c>
    </row>
    <row r="206" spans="1:6" x14ac:dyDescent="0.25">
      <c r="A206" s="47" t="s">
        <v>285</v>
      </c>
      <c r="B206" s="47"/>
      <c r="C206" s="48"/>
      <c r="D206" s="47"/>
      <c r="E206" s="58"/>
      <c r="F206" s="50">
        <f>ROUND(SUM(F204:F205),5)</f>
        <v>12.61</v>
      </c>
    </row>
    <row r="207" spans="1:6" x14ac:dyDescent="0.25">
      <c r="A207" s="42" t="s">
        <v>286</v>
      </c>
      <c r="B207" s="42"/>
      <c r="C207" s="43"/>
      <c r="D207" s="42"/>
      <c r="E207" s="57"/>
      <c r="F207" s="44"/>
    </row>
    <row r="208" spans="1:6" x14ac:dyDescent="0.25">
      <c r="A208" s="47"/>
      <c r="B208" s="47" t="s">
        <v>209</v>
      </c>
      <c r="C208" s="48">
        <v>46063</v>
      </c>
      <c r="D208" s="47"/>
      <c r="E208" s="58" t="s">
        <v>84</v>
      </c>
      <c r="F208" s="50">
        <v>960</v>
      </c>
    </row>
    <row r="209" spans="1:6" x14ac:dyDescent="0.25">
      <c r="A209" s="47"/>
      <c r="B209" s="47" t="s">
        <v>209</v>
      </c>
      <c r="C209" s="48">
        <v>46083</v>
      </c>
      <c r="D209" s="47"/>
      <c r="E209" s="58" t="s">
        <v>84</v>
      </c>
      <c r="F209" s="50">
        <v>960</v>
      </c>
    </row>
    <row r="210" spans="1:6" x14ac:dyDescent="0.25">
      <c r="A210" s="47"/>
      <c r="B210" s="47" t="s">
        <v>209</v>
      </c>
      <c r="C210" s="48">
        <v>46093</v>
      </c>
      <c r="D210" s="47"/>
      <c r="E210" s="58" t="s">
        <v>84</v>
      </c>
      <c r="F210" s="50">
        <v>960</v>
      </c>
    </row>
    <row r="211" spans="1:6" x14ac:dyDescent="0.25">
      <c r="A211" s="47"/>
      <c r="B211" s="47" t="s">
        <v>209</v>
      </c>
      <c r="C211" s="48">
        <v>46113</v>
      </c>
      <c r="D211" s="47"/>
      <c r="E211" s="58" t="s">
        <v>84</v>
      </c>
      <c r="F211" s="50">
        <v>480</v>
      </c>
    </row>
    <row r="212" spans="1:6" x14ac:dyDescent="0.25">
      <c r="A212" s="47"/>
      <c r="B212" s="47" t="s">
        <v>209</v>
      </c>
      <c r="C212" s="48">
        <v>46140</v>
      </c>
      <c r="D212" s="47"/>
      <c r="E212" s="58" t="s">
        <v>84</v>
      </c>
      <c r="F212" s="50">
        <v>480</v>
      </c>
    </row>
    <row r="213" spans="1:6" x14ac:dyDescent="0.25">
      <c r="A213" s="47"/>
      <c r="B213" s="47" t="s">
        <v>209</v>
      </c>
      <c r="C213" s="48">
        <v>46176</v>
      </c>
      <c r="D213" s="47"/>
      <c r="E213" s="58" t="s">
        <v>294</v>
      </c>
      <c r="F213" s="50">
        <v>480</v>
      </c>
    </row>
    <row r="214" spans="1:6" ht="15.6" thickBot="1" x14ac:dyDescent="0.3">
      <c r="A214" s="47"/>
      <c r="B214" s="47" t="s">
        <v>209</v>
      </c>
      <c r="C214" s="48">
        <v>46198</v>
      </c>
      <c r="D214" s="47"/>
      <c r="E214" s="58" t="s">
        <v>294</v>
      </c>
      <c r="F214" s="49">
        <v>480</v>
      </c>
    </row>
    <row r="215" spans="1:6" x14ac:dyDescent="0.25">
      <c r="A215" s="47" t="s">
        <v>287</v>
      </c>
      <c r="B215" s="47"/>
      <c r="C215" s="48"/>
      <c r="D215" s="47"/>
      <c r="E215" s="58"/>
      <c r="F215" s="50">
        <f>ROUND(SUM(F207:F214),5)</f>
        <v>4800</v>
      </c>
    </row>
    <row r="216" spans="1:6" x14ac:dyDescent="0.25">
      <c r="A216" s="42" t="s">
        <v>288</v>
      </c>
      <c r="B216" s="42"/>
      <c r="C216" s="43"/>
      <c r="D216" s="42"/>
      <c r="E216" s="57"/>
      <c r="F216" s="44"/>
    </row>
    <row r="217" spans="1:6" x14ac:dyDescent="0.25">
      <c r="A217" s="47"/>
      <c r="B217" s="47" t="s">
        <v>65</v>
      </c>
      <c r="C217" s="48">
        <v>46070</v>
      </c>
      <c r="D217" s="47" t="s">
        <v>460</v>
      </c>
      <c r="E217" s="58" t="s">
        <v>151</v>
      </c>
      <c r="F217" s="50">
        <v>1168.6500000000001</v>
      </c>
    </row>
    <row r="218" spans="1:6" x14ac:dyDescent="0.25">
      <c r="A218" s="47"/>
      <c r="B218" s="47" t="s">
        <v>65</v>
      </c>
      <c r="C218" s="48">
        <v>46124</v>
      </c>
      <c r="D218" s="47" t="s">
        <v>289</v>
      </c>
      <c r="E218" s="58" t="s">
        <v>151</v>
      </c>
      <c r="F218" s="50">
        <v>71.239999999999995</v>
      </c>
    </row>
    <row r="219" spans="1:6" x14ac:dyDescent="0.25">
      <c r="A219" s="47"/>
      <c r="B219" s="47" t="s">
        <v>65</v>
      </c>
      <c r="C219" s="48">
        <v>46182</v>
      </c>
      <c r="D219" s="47" t="s">
        <v>461</v>
      </c>
      <c r="E219" s="58" t="s">
        <v>151</v>
      </c>
      <c r="F219" s="50">
        <v>55.76</v>
      </c>
    </row>
    <row r="220" spans="1:6" x14ac:dyDescent="0.25">
      <c r="A220" s="47"/>
      <c r="B220" s="47" t="s">
        <v>65</v>
      </c>
      <c r="C220" s="48">
        <v>46195</v>
      </c>
      <c r="D220" s="47" t="s">
        <v>462</v>
      </c>
      <c r="E220" s="58" t="s">
        <v>151</v>
      </c>
      <c r="F220" s="50">
        <v>34.07</v>
      </c>
    </row>
    <row r="221" spans="1:6" x14ac:dyDescent="0.25">
      <c r="A221" s="47"/>
      <c r="B221" s="47" t="s">
        <v>65</v>
      </c>
      <c r="C221" s="48">
        <v>46198</v>
      </c>
      <c r="D221" s="47" t="s">
        <v>463</v>
      </c>
      <c r="E221" s="58" t="s">
        <v>151</v>
      </c>
      <c r="F221" s="50">
        <v>24.78</v>
      </c>
    </row>
    <row r="222" spans="1:6" x14ac:dyDescent="0.25">
      <c r="A222" s="47"/>
      <c r="B222" s="47" t="s">
        <v>65</v>
      </c>
      <c r="C222" s="48">
        <v>46200</v>
      </c>
      <c r="D222" s="47" t="s">
        <v>464</v>
      </c>
      <c r="E222" s="58" t="s">
        <v>151</v>
      </c>
      <c r="F222" s="50">
        <v>12.6</v>
      </c>
    </row>
    <row r="223" spans="1:6" x14ac:dyDescent="0.25">
      <c r="A223" s="47"/>
      <c r="B223" s="47" t="s">
        <v>65</v>
      </c>
      <c r="C223" s="48">
        <v>46203</v>
      </c>
      <c r="D223" s="47" t="s">
        <v>465</v>
      </c>
      <c r="E223" s="58" t="s">
        <v>151</v>
      </c>
      <c r="F223" s="50">
        <v>56.96</v>
      </c>
    </row>
    <row r="224" spans="1:6" ht="15.6" thickBot="1" x14ac:dyDescent="0.3">
      <c r="A224" s="47"/>
      <c r="B224" s="47" t="s">
        <v>65</v>
      </c>
      <c r="C224" s="48">
        <v>46204</v>
      </c>
      <c r="D224" s="47" t="s">
        <v>530</v>
      </c>
      <c r="E224" s="58" t="s">
        <v>151</v>
      </c>
      <c r="F224" s="49">
        <v>49.61</v>
      </c>
    </row>
    <row r="225" spans="1:6" x14ac:dyDescent="0.25">
      <c r="A225" s="47" t="s">
        <v>290</v>
      </c>
      <c r="B225" s="47"/>
      <c r="C225" s="48"/>
      <c r="D225" s="47"/>
      <c r="E225" s="58"/>
      <c r="F225" s="50">
        <f>ROUND(SUM(F216:F224),5)</f>
        <v>1473.67</v>
      </c>
    </row>
    <row r="226" spans="1:6" x14ac:dyDescent="0.25">
      <c r="A226" s="42" t="s">
        <v>291</v>
      </c>
      <c r="B226" s="42"/>
      <c r="C226" s="43"/>
      <c r="D226" s="42"/>
      <c r="E226" s="57"/>
      <c r="F226" s="44"/>
    </row>
    <row r="227" spans="1:6" x14ac:dyDescent="0.25">
      <c r="A227" s="47"/>
      <c r="B227" s="47" t="s">
        <v>65</v>
      </c>
      <c r="C227" s="48">
        <v>46073</v>
      </c>
      <c r="D227" s="47" t="s">
        <v>292</v>
      </c>
      <c r="E227" s="58" t="s">
        <v>216</v>
      </c>
      <c r="F227" s="50">
        <v>130.28</v>
      </c>
    </row>
    <row r="228" spans="1:6" x14ac:dyDescent="0.25">
      <c r="A228" s="47"/>
      <c r="B228" s="47" t="s">
        <v>209</v>
      </c>
      <c r="C228" s="48">
        <v>46170</v>
      </c>
      <c r="D228" s="47" t="s">
        <v>293</v>
      </c>
      <c r="E228" s="58" t="s">
        <v>294</v>
      </c>
      <c r="F228" s="50">
        <v>99.86</v>
      </c>
    </row>
    <row r="229" spans="1:6" ht="15.6" thickBot="1" x14ac:dyDescent="0.3">
      <c r="A229" s="47"/>
      <c r="B229" s="47" t="s">
        <v>209</v>
      </c>
      <c r="C229" s="48">
        <v>46190</v>
      </c>
      <c r="D229" s="47"/>
      <c r="E229" s="58" t="s">
        <v>294</v>
      </c>
      <c r="F229" s="49">
        <v>22.33</v>
      </c>
    </row>
    <row r="230" spans="1:6" x14ac:dyDescent="0.25">
      <c r="A230" s="47" t="s">
        <v>295</v>
      </c>
      <c r="B230" s="47"/>
      <c r="C230" s="48"/>
      <c r="D230" s="47"/>
      <c r="E230" s="58"/>
      <c r="F230" s="50">
        <f>ROUND(SUM(F226:F229),5)</f>
        <v>252.47</v>
      </c>
    </row>
    <row r="231" spans="1:6" x14ac:dyDescent="0.25">
      <c r="A231" s="42" t="s">
        <v>296</v>
      </c>
      <c r="B231" s="42"/>
      <c r="C231" s="43"/>
      <c r="D231" s="42"/>
      <c r="E231" s="57"/>
      <c r="F231" s="44"/>
    </row>
    <row r="232" spans="1:6" ht="15.6" thickBot="1" x14ac:dyDescent="0.3">
      <c r="A232" s="46"/>
      <c r="B232" s="47" t="s">
        <v>209</v>
      </c>
      <c r="C232" s="48">
        <v>46155</v>
      </c>
      <c r="D232" s="47" t="s">
        <v>297</v>
      </c>
      <c r="E232" s="58" t="s">
        <v>294</v>
      </c>
      <c r="F232" s="49">
        <v>513.57000000000005</v>
      </c>
    </row>
    <row r="233" spans="1:6" x14ac:dyDescent="0.25">
      <c r="A233" s="47" t="s">
        <v>298</v>
      </c>
      <c r="B233" s="47"/>
      <c r="C233" s="48"/>
      <c r="D233" s="47"/>
      <c r="E233" s="58"/>
      <c r="F233" s="50">
        <f>ROUND(SUM(F231:F232),5)</f>
        <v>513.57000000000005</v>
      </c>
    </row>
    <row r="234" spans="1:6" x14ac:dyDescent="0.25">
      <c r="A234" s="42" t="s">
        <v>299</v>
      </c>
      <c r="B234" s="42"/>
      <c r="C234" s="43"/>
      <c r="D234" s="42"/>
      <c r="E234" s="57"/>
      <c r="F234" s="44"/>
    </row>
    <row r="235" spans="1:6" x14ac:dyDescent="0.25">
      <c r="A235" s="47"/>
      <c r="B235" s="47" t="s">
        <v>209</v>
      </c>
      <c r="C235" s="48">
        <v>46152</v>
      </c>
      <c r="D235" s="47" t="s">
        <v>300</v>
      </c>
      <c r="E235" s="58" t="s">
        <v>294</v>
      </c>
      <c r="F235" s="50">
        <v>150</v>
      </c>
    </row>
    <row r="236" spans="1:6" x14ac:dyDescent="0.25">
      <c r="A236" s="47"/>
      <c r="B236" s="47" t="s">
        <v>209</v>
      </c>
      <c r="C236" s="48">
        <v>46152</v>
      </c>
      <c r="D236" s="47" t="s">
        <v>301</v>
      </c>
      <c r="E236" s="58" t="s">
        <v>294</v>
      </c>
      <c r="F236" s="50">
        <v>150</v>
      </c>
    </row>
    <row r="237" spans="1:6" x14ac:dyDescent="0.25">
      <c r="A237" s="47"/>
      <c r="B237" s="47" t="s">
        <v>209</v>
      </c>
      <c r="C237" s="48">
        <v>46152</v>
      </c>
      <c r="D237" s="47" t="s">
        <v>302</v>
      </c>
      <c r="E237" s="58" t="s">
        <v>294</v>
      </c>
      <c r="F237" s="50">
        <v>150</v>
      </c>
    </row>
    <row r="238" spans="1:6" x14ac:dyDescent="0.25">
      <c r="A238" s="47"/>
      <c r="B238" s="47" t="s">
        <v>209</v>
      </c>
      <c r="C238" s="48">
        <v>46166</v>
      </c>
      <c r="D238" s="47" t="s">
        <v>303</v>
      </c>
      <c r="E238" s="58" t="s">
        <v>294</v>
      </c>
      <c r="F238" s="50">
        <v>200</v>
      </c>
    </row>
    <row r="239" spans="1:6" x14ac:dyDescent="0.25">
      <c r="A239" s="47"/>
      <c r="B239" s="47" t="s">
        <v>209</v>
      </c>
      <c r="C239" s="48">
        <v>46185</v>
      </c>
      <c r="D239" s="47"/>
      <c r="E239" s="58" t="s">
        <v>294</v>
      </c>
      <c r="F239" s="50">
        <v>75</v>
      </c>
    </row>
    <row r="240" spans="1:6" x14ac:dyDescent="0.25">
      <c r="A240" s="47"/>
      <c r="B240" s="47" t="s">
        <v>209</v>
      </c>
      <c r="C240" s="48">
        <v>46185</v>
      </c>
      <c r="D240" s="47"/>
      <c r="E240" s="58" t="s">
        <v>294</v>
      </c>
      <c r="F240" s="50">
        <v>4.8</v>
      </c>
    </row>
    <row r="241" spans="1:6" x14ac:dyDescent="0.25">
      <c r="A241" s="47"/>
      <c r="B241" s="47" t="s">
        <v>209</v>
      </c>
      <c r="C241" s="48">
        <v>46192</v>
      </c>
      <c r="D241" s="47" t="s">
        <v>531</v>
      </c>
      <c r="E241" s="58" t="s">
        <v>294</v>
      </c>
      <c r="F241" s="50">
        <v>150</v>
      </c>
    </row>
    <row r="242" spans="1:6" x14ac:dyDescent="0.25">
      <c r="A242" s="47"/>
      <c r="B242" s="47" t="s">
        <v>209</v>
      </c>
      <c r="C242" s="48">
        <v>46192</v>
      </c>
      <c r="D242" s="47" t="s">
        <v>532</v>
      </c>
      <c r="E242" s="58" t="s">
        <v>294</v>
      </c>
      <c r="F242" s="50">
        <v>150</v>
      </c>
    </row>
    <row r="243" spans="1:6" x14ac:dyDescent="0.25">
      <c r="A243" s="47"/>
      <c r="B243" s="47" t="s">
        <v>209</v>
      </c>
      <c r="C243" s="48">
        <v>46199</v>
      </c>
      <c r="D243" s="47" t="s">
        <v>533</v>
      </c>
      <c r="E243" s="58" t="s">
        <v>294</v>
      </c>
      <c r="F243" s="50">
        <v>150</v>
      </c>
    </row>
    <row r="244" spans="1:6" x14ac:dyDescent="0.25">
      <c r="A244" s="47"/>
      <c r="B244" s="47" t="s">
        <v>209</v>
      </c>
      <c r="C244" s="48">
        <v>46199</v>
      </c>
      <c r="D244" s="47"/>
      <c r="E244" s="58" t="s">
        <v>294</v>
      </c>
      <c r="F244" s="50">
        <v>9.67</v>
      </c>
    </row>
    <row r="245" spans="1:6" x14ac:dyDescent="0.25">
      <c r="A245" s="47"/>
      <c r="B245" s="47" t="s">
        <v>209</v>
      </c>
      <c r="C245" s="48">
        <v>46214</v>
      </c>
      <c r="D245" s="47"/>
      <c r="E245" s="58" t="s">
        <v>294</v>
      </c>
      <c r="F245" s="50">
        <v>149.61000000000001</v>
      </c>
    </row>
    <row r="246" spans="1:6" x14ac:dyDescent="0.25">
      <c r="A246" s="47"/>
      <c r="B246" s="47" t="s">
        <v>209</v>
      </c>
      <c r="C246" s="48">
        <v>46220</v>
      </c>
      <c r="D246" s="47"/>
      <c r="E246" s="58" t="s">
        <v>294</v>
      </c>
      <c r="F246" s="50">
        <v>75</v>
      </c>
    </row>
    <row r="247" spans="1:6" x14ac:dyDescent="0.25">
      <c r="A247" s="47"/>
      <c r="B247" s="47" t="s">
        <v>209</v>
      </c>
      <c r="C247" s="48">
        <v>46220</v>
      </c>
      <c r="D247" s="47"/>
      <c r="E247" s="58" t="s">
        <v>294</v>
      </c>
      <c r="F247" s="50">
        <v>150</v>
      </c>
    </row>
    <row r="248" spans="1:6" x14ac:dyDescent="0.25">
      <c r="A248" s="47"/>
      <c r="B248" s="47" t="s">
        <v>209</v>
      </c>
      <c r="C248" s="48">
        <v>46220</v>
      </c>
      <c r="D248" s="47"/>
      <c r="E248" s="58" t="s">
        <v>294</v>
      </c>
      <c r="F248" s="50">
        <v>150</v>
      </c>
    </row>
    <row r="249" spans="1:6" ht="15.6" thickBot="1" x14ac:dyDescent="0.3">
      <c r="A249" s="47"/>
      <c r="B249" s="47" t="s">
        <v>209</v>
      </c>
      <c r="C249" s="48">
        <v>46220</v>
      </c>
      <c r="D249" s="47"/>
      <c r="E249" s="58" t="s">
        <v>294</v>
      </c>
      <c r="F249" s="49">
        <v>150</v>
      </c>
    </row>
    <row r="250" spans="1:6" x14ac:dyDescent="0.25">
      <c r="A250" s="47" t="s">
        <v>304</v>
      </c>
      <c r="B250" s="47"/>
      <c r="C250" s="48"/>
      <c r="D250" s="47"/>
      <c r="E250" s="58"/>
      <c r="F250" s="50">
        <f>ROUND(SUM(F234:F249),5)</f>
        <v>1864.08</v>
      </c>
    </row>
    <row r="251" spans="1:6" x14ac:dyDescent="0.25">
      <c r="A251" s="42" t="s">
        <v>305</v>
      </c>
      <c r="B251" s="42"/>
      <c r="C251" s="43"/>
      <c r="D251" s="42"/>
      <c r="E251" s="57"/>
      <c r="F251" s="44"/>
    </row>
    <row r="252" spans="1:6" x14ac:dyDescent="0.25">
      <c r="A252" s="47"/>
      <c r="B252" s="47" t="s">
        <v>65</v>
      </c>
      <c r="C252" s="48">
        <v>46167</v>
      </c>
      <c r="D252" s="47" t="s">
        <v>306</v>
      </c>
      <c r="E252" s="58" t="s">
        <v>102</v>
      </c>
      <c r="F252" s="50">
        <v>15118.53</v>
      </c>
    </row>
    <row r="253" spans="1:6" ht="15.6" thickBot="1" x14ac:dyDescent="0.3">
      <c r="A253" s="47"/>
      <c r="B253" s="47" t="s">
        <v>65</v>
      </c>
      <c r="C253" s="48">
        <v>46167</v>
      </c>
      <c r="D253" s="47" t="s">
        <v>307</v>
      </c>
      <c r="E253" s="58" t="s">
        <v>97</v>
      </c>
      <c r="F253" s="49">
        <v>25812.63</v>
      </c>
    </row>
    <row r="254" spans="1:6" x14ac:dyDescent="0.25">
      <c r="A254" s="47" t="s">
        <v>308</v>
      </c>
      <c r="B254" s="47"/>
      <c r="C254" s="48"/>
      <c r="D254" s="47"/>
      <c r="E254" s="58"/>
      <c r="F254" s="50">
        <f>ROUND(SUM(F251:F253),5)</f>
        <v>40931.160000000003</v>
      </c>
    </row>
    <row r="255" spans="1:6" x14ac:dyDescent="0.25">
      <c r="A255" s="42" t="s">
        <v>73</v>
      </c>
      <c r="B255" s="42"/>
      <c r="C255" s="43"/>
      <c r="D255" s="42"/>
      <c r="E255" s="57"/>
      <c r="F255" s="44"/>
    </row>
    <row r="256" spans="1:6" ht="15.6" thickBot="1" x14ac:dyDescent="0.3">
      <c r="A256" s="46"/>
      <c r="B256" s="47" t="s">
        <v>65</v>
      </c>
      <c r="C256" s="48">
        <v>46077</v>
      </c>
      <c r="D256" s="47" t="s">
        <v>309</v>
      </c>
      <c r="E256" s="58" t="s">
        <v>569</v>
      </c>
      <c r="F256" s="49">
        <v>158.93</v>
      </c>
    </row>
    <row r="257" spans="1:6" x14ac:dyDescent="0.25">
      <c r="A257" s="47" t="s">
        <v>74</v>
      </c>
      <c r="B257" s="47"/>
      <c r="C257" s="48"/>
      <c r="D257" s="47"/>
      <c r="E257" s="58"/>
      <c r="F257" s="50">
        <f>ROUND(SUM(F255:F256),5)</f>
        <v>158.93</v>
      </c>
    </row>
    <row r="258" spans="1:6" x14ac:dyDescent="0.25">
      <c r="A258" s="42" t="s">
        <v>310</v>
      </c>
      <c r="B258" s="42"/>
      <c r="C258" s="43"/>
      <c r="D258" s="42"/>
      <c r="E258" s="57"/>
      <c r="F258" s="44"/>
    </row>
    <row r="259" spans="1:6" x14ac:dyDescent="0.25">
      <c r="A259" s="47"/>
      <c r="B259" s="47" t="s">
        <v>65</v>
      </c>
      <c r="C259" s="48">
        <v>46064</v>
      </c>
      <c r="D259" s="47" t="s">
        <v>311</v>
      </c>
      <c r="E259" s="58" t="s">
        <v>216</v>
      </c>
      <c r="F259" s="50">
        <v>96.75</v>
      </c>
    </row>
    <row r="260" spans="1:6" x14ac:dyDescent="0.25">
      <c r="A260" s="47"/>
      <c r="B260" s="47" t="s">
        <v>65</v>
      </c>
      <c r="C260" s="48">
        <v>46064</v>
      </c>
      <c r="D260" s="47" t="s">
        <v>312</v>
      </c>
      <c r="E260" s="58" t="s">
        <v>216</v>
      </c>
      <c r="F260" s="50">
        <v>269.14999999999998</v>
      </c>
    </row>
    <row r="261" spans="1:6" x14ac:dyDescent="0.25">
      <c r="A261" s="47"/>
      <c r="B261" s="47" t="s">
        <v>65</v>
      </c>
      <c r="C261" s="48">
        <v>46069</v>
      </c>
      <c r="D261" s="47" t="s">
        <v>313</v>
      </c>
      <c r="E261" s="58" t="s">
        <v>216</v>
      </c>
      <c r="F261" s="50">
        <v>332.64</v>
      </c>
    </row>
    <row r="262" spans="1:6" x14ac:dyDescent="0.25">
      <c r="A262" s="47"/>
      <c r="B262" s="47" t="s">
        <v>65</v>
      </c>
      <c r="C262" s="48">
        <v>46070</v>
      </c>
      <c r="D262" s="47" t="s">
        <v>314</v>
      </c>
      <c r="E262" s="58" t="s">
        <v>216</v>
      </c>
      <c r="F262" s="50">
        <v>11877.03</v>
      </c>
    </row>
    <row r="263" spans="1:6" x14ac:dyDescent="0.25">
      <c r="A263" s="47"/>
      <c r="B263" s="47" t="s">
        <v>65</v>
      </c>
      <c r="C263" s="48">
        <v>46071</v>
      </c>
      <c r="D263" s="47" t="s">
        <v>315</v>
      </c>
      <c r="E263" s="58" t="s">
        <v>216</v>
      </c>
      <c r="F263" s="50">
        <v>649.47</v>
      </c>
    </row>
    <row r="264" spans="1:6" x14ac:dyDescent="0.25">
      <c r="A264" s="47"/>
      <c r="B264" s="47" t="s">
        <v>65</v>
      </c>
      <c r="C264" s="48">
        <v>46076</v>
      </c>
      <c r="D264" s="47" t="s">
        <v>316</v>
      </c>
      <c r="E264" s="58" t="s">
        <v>216</v>
      </c>
      <c r="F264" s="50">
        <v>581.91999999999996</v>
      </c>
    </row>
    <row r="265" spans="1:6" x14ac:dyDescent="0.25">
      <c r="A265" s="47"/>
      <c r="B265" s="47" t="s">
        <v>65</v>
      </c>
      <c r="C265" s="48">
        <v>46076</v>
      </c>
      <c r="D265" s="47" t="s">
        <v>317</v>
      </c>
      <c r="E265" s="58" t="s">
        <v>216</v>
      </c>
      <c r="F265" s="50">
        <v>108.06</v>
      </c>
    </row>
    <row r="266" spans="1:6" x14ac:dyDescent="0.25">
      <c r="A266" s="47"/>
      <c r="B266" s="47" t="s">
        <v>65</v>
      </c>
      <c r="C266" s="48">
        <v>46083</v>
      </c>
      <c r="D266" s="47" t="s">
        <v>318</v>
      </c>
      <c r="E266" s="58" t="s">
        <v>216</v>
      </c>
      <c r="F266" s="50">
        <v>11546.35</v>
      </c>
    </row>
    <row r="267" spans="1:6" x14ac:dyDescent="0.25">
      <c r="A267" s="47"/>
      <c r="B267" s="47" t="s">
        <v>198</v>
      </c>
      <c r="C267" s="48">
        <v>46083</v>
      </c>
      <c r="D267" s="47" t="s">
        <v>319</v>
      </c>
      <c r="E267" s="58" t="s">
        <v>216</v>
      </c>
      <c r="F267" s="50">
        <v>-11820.14</v>
      </c>
    </row>
    <row r="268" spans="1:6" x14ac:dyDescent="0.25">
      <c r="A268" s="47"/>
      <c r="B268" s="47" t="s">
        <v>65</v>
      </c>
      <c r="C268" s="48">
        <v>46084</v>
      </c>
      <c r="D268" s="47" t="s">
        <v>320</v>
      </c>
      <c r="E268" s="58" t="s">
        <v>83</v>
      </c>
      <c r="F268" s="50">
        <v>2369.25</v>
      </c>
    </row>
    <row r="269" spans="1:6" x14ac:dyDescent="0.25">
      <c r="A269" s="47"/>
      <c r="B269" s="47" t="s">
        <v>198</v>
      </c>
      <c r="C269" s="48">
        <v>46084</v>
      </c>
      <c r="D269" s="47" t="s">
        <v>321</v>
      </c>
      <c r="E269" s="58" t="s">
        <v>83</v>
      </c>
      <c r="F269" s="50">
        <v>-2369.25</v>
      </c>
    </row>
    <row r="270" spans="1:6" x14ac:dyDescent="0.25">
      <c r="A270" s="47"/>
      <c r="B270" s="47" t="s">
        <v>198</v>
      </c>
      <c r="C270" s="48">
        <v>46084</v>
      </c>
      <c r="D270" s="47" t="s">
        <v>322</v>
      </c>
      <c r="E270" s="58" t="s">
        <v>216</v>
      </c>
      <c r="F270" s="50">
        <v>-649.47</v>
      </c>
    </row>
    <row r="271" spans="1:6" x14ac:dyDescent="0.25">
      <c r="A271" s="47"/>
      <c r="B271" s="47" t="s">
        <v>65</v>
      </c>
      <c r="C271" s="48">
        <v>46084</v>
      </c>
      <c r="D271" s="47" t="s">
        <v>323</v>
      </c>
      <c r="E271" s="58" t="s">
        <v>216</v>
      </c>
      <c r="F271" s="50">
        <v>183.64</v>
      </c>
    </row>
    <row r="272" spans="1:6" x14ac:dyDescent="0.25">
      <c r="A272" s="47"/>
      <c r="B272" s="47" t="s">
        <v>65</v>
      </c>
      <c r="C272" s="48">
        <v>46087</v>
      </c>
      <c r="D272" s="47" t="s">
        <v>324</v>
      </c>
      <c r="E272" s="58" t="s">
        <v>83</v>
      </c>
      <c r="F272" s="50">
        <v>2471.14</v>
      </c>
    </row>
    <row r="273" spans="1:6" x14ac:dyDescent="0.25">
      <c r="A273" s="47"/>
      <c r="B273" s="47" t="s">
        <v>65</v>
      </c>
      <c r="C273" s="48">
        <v>46089</v>
      </c>
      <c r="D273" s="47" t="s">
        <v>325</v>
      </c>
      <c r="E273" s="58" t="s">
        <v>216</v>
      </c>
      <c r="F273" s="50">
        <v>96.37</v>
      </c>
    </row>
    <row r="274" spans="1:6" x14ac:dyDescent="0.25">
      <c r="A274" s="47"/>
      <c r="B274" s="47" t="s">
        <v>65</v>
      </c>
      <c r="C274" s="48">
        <v>46093</v>
      </c>
      <c r="D274" s="47" t="s">
        <v>326</v>
      </c>
      <c r="E274" s="58" t="s">
        <v>216</v>
      </c>
      <c r="F274" s="50">
        <v>212.17</v>
      </c>
    </row>
    <row r="275" spans="1:6" x14ac:dyDescent="0.25">
      <c r="A275" s="47"/>
      <c r="B275" s="47" t="s">
        <v>65</v>
      </c>
      <c r="C275" s="48">
        <v>46097</v>
      </c>
      <c r="D275" s="47" t="s">
        <v>327</v>
      </c>
      <c r="E275" s="58" t="s">
        <v>294</v>
      </c>
      <c r="F275" s="50">
        <v>356.54</v>
      </c>
    </row>
    <row r="276" spans="1:6" x14ac:dyDescent="0.25">
      <c r="A276" s="47"/>
      <c r="B276" s="47" t="s">
        <v>65</v>
      </c>
      <c r="C276" s="48">
        <v>46099</v>
      </c>
      <c r="D276" s="47" t="s">
        <v>328</v>
      </c>
      <c r="E276" s="58" t="s">
        <v>294</v>
      </c>
      <c r="F276" s="50">
        <v>1133.28</v>
      </c>
    </row>
    <row r="277" spans="1:6" x14ac:dyDescent="0.25">
      <c r="A277" s="47"/>
      <c r="B277" s="47" t="s">
        <v>198</v>
      </c>
      <c r="C277" s="48">
        <v>46104</v>
      </c>
      <c r="D277" s="47" t="s">
        <v>329</v>
      </c>
      <c r="E277" s="58" t="s">
        <v>294</v>
      </c>
      <c r="F277" s="50">
        <v>-77</v>
      </c>
    </row>
    <row r="278" spans="1:6" x14ac:dyDescent="0.25">
      <c r="A278" s="47"/>
      <c r="B278" s="47" t="s">
        <v>65</v>
      </c>
      <c r="C278" s="48">
        <v>46105</v>
      </c>
      <c r="D278" s="47" t="s">
        <v>330</v>
      </c>
      <c r="E278" s="58" t="s">
        <v>294</v>
      </c>
      <c r="F278" s="50">
        <v>7854.28</v>
      </c>
    </row>
    <row r="279" spans="1:6" x14ac:dyDescent="0.25">
      <c r="A279" s="47"/>
      <c r="B279" s="47" t="s">
        <v>65</v>
      </c>
      <c r="C279" s="48">
        <v>46106</v>
      </c>
      <c r="D279" s="47" t="s">
        <v>331</v>
      </c>
      <c r="E279" s="58" t="s">
        <v>294</v>
      </c>
      <c r="F279" s="50">
        <v>80.58</v>
      </c>
    </row>
    <row r="280" spans="1:6" x14ac:dyDescent="0.25">
      <c r="A280" s="47"/>
      <c r="B280" s="47" t="s">
        <v>65</v>
      </c>
      <c r="C280" s="48">
        <v>46111</v>
      </c>
      <c r="D280" s="47" t="s">
        <v>332</v>
      </c>
      <c r="E280" s="58" t="s">
        <v>294</v>
      </c>
      <c r="F280" s="50">
        <v>14103.16</v>
      </c>
    </row>
    <row r="281" spans="1:6" x14ac:dyDescent="0.25">
      <c r="A281" s="47"/>
      <c r="B281" s="47" t="s">
        <v>198</v>
      </c>
      <c r="C281" s="48">
        <v>46112</v>
      </c>
      <c r="D281" s="47" t="s">
        <v>333</v>
      </c>
      <c r="E281" s="58" t="s">
        <v>294</v>
      </c>
      <c r="F281" s="50">
        <v>-224.22</v>
      </c>
    </row>
    <row r="282" spans="1:6" x14ac:dyDescent="0.25">
      <c r="A282" s="47"/>
      <c r="B282" s="47" t="s">
        <v>65</v>
      </c>
      <c r="C282" s="48">
        <v>46112</v>
      </c>
      <c r="D282" s="47" t="s">
        <v>334</v>
      </c>
      <c r="E282" s="58" t="s">
        <v>294</v>
      </c>
      <c r="F282" s="50">
        <v>224.22</v>
      </c>
    </row>
    <row r="283" spans="1:6" x14ac:dyDescent="0.25">
      <c r="A283" s="47"/>
      <c r="B283" s="47" t="s">
        <v>65</v>
      </c>
      <c r="C283" s="48">
        <v>46115</v>
      </c>
      <c r="D283" s="47" t="s">
        <v>335</v>
      </c>
      <c r="E283" s="58" t="s">
        <v>294</v>
      </c>
      <c r="F283" s="50">
        <v>297.91000000000003</v>
      </c>
    </row>
    <row r="284" spans="1:6" x14ac:dyDescent="0.25">
      <c r="A284" s="47"/>
      <c r="B284" s="47" t="s">
        <v>65</v>
      </c>
      <c r="C284" s="48">
        <v>46119</v>
      </c>
      <c r="D284" s="47" t="s">
        <v>336</v>
      </c>
      <c r="E284" s="58" t="s">
        <v>294</v>
      </c>
      <c r="F284" s="50">
        <v>4177.5600000000004</v>
      </c>
    </row>
    <row r="285" spans="1:6" x14ac:dyDescent="0.25">
      <c r="A285" s="47"/>
      <c r="B285" s="47" t="s">
        <v>65</v>
      </c>
      <c r="C285" s="48">
        <v>46127</v>
      </c>
      <c r="D285" s="47" t="s">
        <v>337</v>
      </c>
      <c r="E285" s="58" t="s">
        <v>294</v>
      </c>
      <c r="F285" s="50">
        <v>1637</v>
      </c>
    </row>
    <row r="286" spans="1:6" x14ac:dyDescent="0.25">
      <c r="A286" s="47"/>
      <c r="B286" s="47" t="s">
        <v>209</v>
      </c>
      <c r="C286" s="48">
        <v>46130</v>
      </c>
      <c r="D286" s="47" t="s">
        <v>338</v>
      </c>
      <c r="E286" s="58" t="s">
        <v>294</v>
      </c>
      <c r="F286" s="50">
        <v>63.45</v>
      </c>
    </row>
    <row r="287" spans="1:6" x14ac:dyDescent="0.25">
      <c r="A287" s="47"/>
      <c r="B287" s="47" t="s">
        <v>65</v>
      </c>
      <c r="C287" s="48">
        <v>46132</v>
      </c>
      <c r="D287" s="47" t="s">
        <v>339</v>
      </c>
      <c r="E287" s="58" t="s">
        <v>294</v>
      </c>
      <c r="F287" s="50">
        <v>224.89</v>
      </c>
    </row>
    <row r="288" spans="1:6" x14ac:dyDescent="0.25">
      <c r="A288" s="47"/>
      <c r="B288" s="47" t="s">
        <v>65</v>
      </c>
      <c r="C288" s="48">
        <v>46149</v>
      </c>
      <c r="D288" s="47" t="s">
        <v>340</v>
      </c>
      <c r="E288" s="58" t="s">
        <v>294</v>
      </c>
      <c r="F288" s="50">
        <v>2178.89</v>
      </c>
    </row>
    <row r="289" spans="1:6" x14ac:dyDescent="0.25">
      <c r="A289" s="47"/>
      <c r="B289" s="47" t="s">
        <v>65</v>
      </c>
      <c r="C289" s="48">
        <v>46154</v>
      </c>
      <c r="D289" s="47" t="s">
        <v>341</v>
      </c>
      <c r="E289" s="58" t="s">
        <v>294</v>
      </c>
      <c r="F289" s="50">
        <v>1876.9</v>
      </c>
    </row>
    <row r="290" spans="1:6" x14ac:dyDescent="0.25">
      <c r="A290" s="47"/>
      <c r="B290" s="47" t="s">
        <v>65</v>
      </c>
      <c r="C290" s="48">
        <v>46154</v>
      </c>
      <c r="D290" s="47" t="s">
        <v>342</v>
      </c>
      <c r="E290" s="58" t="s">
        <v>294</v>
      </c>
      <c r="F290" s="50">
        <v>2565.09</v>
      </c>
    </row>
    <row r="291" spans="1:6" x14ac:dyDescent="0.25">
      <c r="A291" s="47"/>
      <c r="B291" s="47" t="s">
        <v>65</v>
      </c>
      <c r="C291" s="48">
        <v>46162</v>
      </c>
      <c r="D291" s="47" t="s">
        <v>343</v>
      </c>
      <c r="E291" s="58" t="s">
        <v>294</v>
      </c>
      <c r="F291" s="50">
        <v>34.700000000000003</v>
      </c>
    </row>
    <row r="292" spans="1:6" x14ac:dyDescent="0.25">
      <c r="A292" s="47"/>
      <c r="B292" s="47" t="s">
        <v>65</v>
      </c>
      <c r="C292" s="48">
        <v>46163</v>
      </c>
      <c r="D292" s="47" t="s">
        <v>344</v>
      </c>
      <c r="E292" s="58" t="s">
        <v>294</v>
      </c>
      <c r="F292" s="50">
        <v>3192.65</v>
      </c>
    </row>
    <row r="293" spans="1:6" x14ac:dyDescent="0.25">
      <c r="A293" s="47"/>
      <c r="B293" s="47" t="s">
        <v>65</v>
      </c>
      <c r="C293" s="48">
        <v>46167</v>
      </c>
      <c r="D293" s="47" t="s">
        <v>345</v>
      </c>
      <c r="E293" s="58" t="s">
        <v>294</v>
      </c>
      <c r="F293" s="50">
        <v>192.47</v>
      </c>
    </row>
    <row r="294" spans="1:6" x14ac:dyDescent="0.25">
      <c r="A294" s="47"/>
      <c r="B294" s="47" t="s">
        <v>65</v>
      </c>
      <c r="C294" s="48">
        <v>46168</v>
      </c>
      <c r="D294" s="47" t="s">
        <v>346</v>
      </c>
      <c r="E294" s="58" t="s">
        <v>113</v>
      </c>
      <c r="F294" s="50">
        <v>403.74</v>
      </c>
    </row>
    <row r="295" spans="1:6" x14ac:dyDescent="0.25">
      <c r="A295" s="47"/>
      <c r="B295" s="47" t="s">
        <v>65</v>
      </c>
      <c r="C295" s="48">
        <v>46169</v>
      </c>
      <c r="D295" s="47" t="s">
        <v>347</v>
      </c>
      <c r="E295" s="58" t="s">
        <v>294</v>
      </c>
      <c r="F295" s="50">
        <v>523.66999999999996</v>
      </c>
    </row>
    <row r="296" spans="1:6" x14ac:dyDescent="0.25">
      <c r="A296" s="47"/>
      <c r="B296" s="47" t="s">
        <v>65</v>
      </c>
      <c r="C296" s="48">
        <v>46169</v>
      </c>
      <c r="D296" s="47" t="s">
        <v>348</v>
      </c>
      <c r="E296" s="58" t="s">
        <v>294</v>
      </c>
      <c r="F296" s="50">
        <v>122.57</v>
      </c>
    </row>
    <row r="297" spans="1:6" x14ac:dyDescent="0.25">
      <c r="A297" s="47"/>
      <c r="B297" s="47" t="s">
        <v>198</v>
      </c>
      <c r="C297" s="48">
        <v>46171</v>
      </c>
      <c r="D297" s="47" t="s">
        <v>349</v>
      </c>
      <c r="E297" s="58" t="s">
        <v>294</v>
      </c>
      <c r="F297" s="50">
        <v>-145.6</v>
      </c>
    </row>
    <row r="298" spans="1:6" x14ac:dyDescent="0.25">
      <c r="A298" s="47"/>
      <c r="B298" s="47" t="s">
        <v>65</v>
      </c>
      <c r="C298" s="48">
        <v>46171</v>
      </c>
      <c r="D298" s="47" t="s">
        <v>350</v>
      </c>
      <c r="E298" s="58" t="s">
        <v>294</v>
      </c>
      <c r="F298" s="50">
        <v>145.6</v>
      </c>
    </row>
    <row r="299" spans="1:6" x14ac:dyDescent="0.25">
      <c r="A299" s="47"/>
      <c r="B299" s="47" t="s">
        <v>65</v>
      </c>
      <c r="C299" s="48">
        <v>46175</v>
      </c>
      <c r="D299" s="47" t="s">
        <v>351</v>
      </c>
      <c r="E299" s="58" t="s">
        <v>294</v>
      </c>
      <c r="F299" s="50">
        <v>376.32</v>
      </c>
    </row>
    <row r="300" spans="1:6" x14ac:dyDescent="0.25">
      <c r="A300" s="47"/>
      <c r="B300" s="47" t="s">
        <v>65</v>
      </c>
      <c r="C300" s="48">
        <v>46176</v>
      </c>
      <c r="D300" s="47" t="s">
        <v>352</v>
      </c>
      <c r="E300" s="58" t="s">
        <v>294</v>
      </c>
      <c r="F300" s="50">
        <v>48.15</v>
      </c>
    </row>
    <row r="301" spans="1:6" x14ac:dyDescent="0.25">
      <c r="A301" s="47"/>
      <c r="B301" s="47" t="s">
        <v>65</v>
      </c>
      <c r="C301" s="48">
        <v>46177</v>
      </c>
      <c r="D301" s="47" t="s">
        <v>353</v>
      </c>
      <c r="E301" s="58" t="s">
        <v>294</v>
      </c>
      <c r="F301" s="50">
        <v>166.37</v>
      </c>
    </row>
    <row r="302" spans="1:6" x14ac:dyDescent="0.25">
      <c r="A302" s="47"/>
      <c r="B302" s="47" t="s">
        <v>65</v>
      </c>
      <c r="C302" s="48">
        <v>46177</v>
      </c>
      <c r="D302" s="47" t="s">
        <v>354</v>
      </c>
      <c r="E302" s="58" t="s">
        <v>294</v>
      </c>
      <c r="F302" s="50">
        <v>1072.6300000000001</v>
      </c>
    </row>
    <row r="303" spans="1:6" x14ac:dyDescent="0.25">
      <c r="A303" s="47"/>
      <c r="B303" s="47" t="s">
        <v>65</v>
      </c>
      <c r="C303" s="48">
        <v>46189</v>
      </c>
      <c r="D303" s="47" t="s">
        <v>466</v>
      </c>
      <c r="E303" s="58" t="s">
        <v>294</v>
      </c>
      <c r="F303" s="50">
        <v>536.86</v>
      </c>
    </row>
    <row r="304" spans="1:6" x14ac:dyDescent="0.25">
      <c r="A304" s="47"/>
      <c r="B304" s="47" t="s">
        <v>65</v>
      </c>
      <c r="C304" s="48">
        <v>46189</v>
      </c>
      <c r="D304" s="47" t="s">
        <v>467</v>
      </c>
      <c r="E304" s="58" t="s">
        <v>294</v>
      </c>
      <c r="F304" s="50">
        <v>151.15</v>
      </c>
    </row>
    <row r="305" spans="1:6" x14ac:dyDescent="0.25">
      <c r="A305" s="47"/>
      <c r="B305" s="47" t="s">
        <v>65</v>
      </c>
      <c r="C305" s="48">
        <v>46190</v>
      </c>
      <c r="D305" s="47" t="s">
        <v>468</v>
      </c>
      <c r="E305" s="58" t="s">
        <v>112</v>
      </c>
      <c r="F305" s="50">
        <v>16234.4</v>
      </c>
    </row>
    <row r="306" spans="1:6" x14ac:dyDescent="0.25">
      <c r="A306" s="47"/>
      <c r="B306" s="47" t="s">
        <v>65</v>
      </c>
      <c r="C306" s="48">
        <v>46216</v>
      </c>
      <c r="D306" s="47" t="s">
        <v>534</v>
      </c>
      <c r="E306" s="58" t="s">
        <v>294</v>
      </c>
      <c r="F306" s="50">
        <v>23.19</v>
      </c>
    </row>
    <row r="307" spans="1:6" x14ac:dyDescent="0.25">
      <c r="A307" s="47"/>
      <c r="B307" s="47" t="s">
        <v>65</v>
      </c>
      <c r="C307" s="48">
        <v>46218</v>
      </c>
      <c r="D307" s="47" t="s">
        <v>535</v>
      </c>
      <c r="E307" s="58" t="s">
        <v>113</v>
      </c>
      <c r="F307" s="50">
        <v>9396.86</v>
      </c>
    </row>
    <row r="308" spans="1:6" x14ac:dyDescent="0.25">
      <c r="A308" s="47"/>
      <c r="B308" s="47" t="s">
        <v>65</v>
      </c>
      <c r="C308" s="48">
        <v>46219</v>
      </c>
      <c r="D308" s="47" t="s">
        <v>536</v>
      </c>
      <c r="E308" s="58" t="s">
        <v>113</v>
      </c>
      <c r="F308" s="50">
        <v>3760.85</v>
      </c>
    </row>
    <row r="309" spans="1:6" x14ac:dyDescent="0.25">
      <c r="A309" s="47"/>
      <c r="B309" s="47" t="s">
        <v>198</v>
      </c>
      <c r="C309" s="48">
        <v>46219</v>
      </c>
      <c r="D309" s="47" t="s">
        <v>537</v>
      </c>
      <c r="E309" s="58" t="s">
        <v>113</v>
      </c>
      <c r="F309" s="50">
        <v>-3760.85</v>
      </c>
    </row>
    <row r="310" spans="1:6" ht="15.6" thickBot="1" x14ac:dyDescent="0.3">
      <c r="A310" s="47"/>
      <c r="B310" s="47" t="s">
        <v>65</v>
      </c>
      <c r="C310" s="48">
        <v>46231</v>
      </c>
      <c r="D310" s="47" t="s">
        <v>538</v>
      </c>
      <c r="E310" s="58" t="s">
        <v>147</v>
      </c>
      <c r="F310" s="49">
        <v>16.12</v>
      </c>
    </row>
    <row r="311" spans="1:6" x14ac:dyDescent="0.25">
      <c r="A311" s="47" t="s">
        <v>355</v>
      </c>
      <c r="B311" s="47"/>
      <c r="C311" s="48"/>
      <c r="D311" s="47"/>
      <c r="E311" s="58"/>
      <c r="F311" s="50">
        <f>ROUND(SUM(F258:F310),5)</f>
        <v>84919.46</v>
      </c>
    </row>
    <row r="312" spans="1:6" x14ac:dyDescent="0.25">
      <c r="A312" s="42" t="s">
        <v>539</v>
      </c>
      <c r="B312" s="42"/>
      <c r="C312" s="43"/>
      <c r="D312" s="42"/>
      <c r="E312" s="57"/>
      <c r="F312" s="44"/>
    </row>
    <row r="313" spans="1:6" ht="15.6" thickBot="1" x14ac:dyDescent="0.3">
      <c r="A313" s="46"/>
      <c r="B313" s="47" t="s">
        <v>209</v>
      </c>
      <c r="C313" s="48">
        <v>46203</v>
      </c>
      <c r="D313" s="47"/>
      <c r="E313" s="58" t="s">
        <v>155</v>
      </c>
      <c r="F313" s="49">
        <v>69.44</v>
      </c>
    </row>
    <row r="314" spans="1:6" x14ac:dyDescent="0.25">
      <c r="A314" s="47" t="s">
        <v>540</v>
      </c>
      <c r="B314" s="47"/>
      <c r="C314" s="48"/>
      <c r="D314" s="47"/>
      <c r="E314" s="58"/>
      <c r="F314" s="50">
        <f>ROUND(SUM(F312:F313),5)</f>
        <v>69.44</v>
      </c>
    </row>
    <row r="315" spans="1:6" x14ac:dyDescent="0.25">
      <c r="A315" s="42" t="s">
        <v>541</v>
      </c>
      <c r="B315" s="42"/>
      <c r="C315" s="43"/>
      <c r="D315" s="42"/>
      <c r="E315" s="57"/>
      <c r="F315" s="44"/>
    </row>
    <row r="316" spans="1:6" ht="15.6" thickBot="1" x14ac:dyDescent="0.3">
      <c r="A316" s="46"/>
      <c r="B316" s="47" t="s">
        <v>209</v>
      </c>
      <c r="C316" s="48">
        <v>46224</v>
      </c>
      <c r="D316" s="47"/>
      <c r="E316" s="58" t="s">
        <v>146</v>
      </c>
      <c r="F316" s="49">
        <v>42.09</v>
      </c>
    </row>
    <row r="317" spans="1:6" x14ac:dyDescent="0.25">
      <c r="A317" s="47" t="s">
        <v>542</v>
      </c>
      <c r="B317" s="47"/>
      <c r="C317" s="48"/>
      <c r="D317" s="47"/>
      <c r="E317" s="58"/>
      <c r="F317" s="50">
        <f>ROUND(SUM(F315:F316),5)</f>
        <v>42.09</v>
      </c>
    </row>
    <row r="318" spans="1:6" x14ac:dyDescent="0.25">
      <c r="A318" s="42" t="s">
        <v>356</v>
      </c>
      <c r="B318" s="42"/>
      <c r="C318" s="43"/>
      <c r="D318" s="42"/>
      <c r="E318" s="57"/>
      <c r="F318" s="44"/>
    </row>
    <row r="319" spans="1:6" x14ac:dyDescent="0.25">
      <c r="A319" s="47"/>
      <c r="B319" s="47" t="s">
        <v>65</v>
      </c>
      <c r="C319" s="48">
        <v>46066</v>
      </c>
      <c r="D319" s="47" t="s">
        <v>357</v>
      </c>
      <c r="E319" s="58" t="s">
        <v>216</v>
      </c>
      <c r="F319" s="50">
        <v>229.69</v>
      </c>
    </row>
    <row r="320" spans="1:6" x14ac:dyDescent="0.25">
      <c r="A320" s="47"/>
      <c r="B320" s="47" t="s">
        <v>65</v>
      </c>
      <c r="C320" s="48">
        <v>46077</v>
      </c>
      <c r="D320" s="47" t="s">
        <v>358</v>
      </c>
      <c r="E320" s="58" t="s">
        <v>216</v>
      </c>
      <c r="F320" s="50">
        <v>769.62</v>
      </c>
    </row>
    <row r="321" spans="1:6" x14ac:dyDescent="0.25">
      <c r="A321" s="47"/>
      <c r="B321" s="47" t="s">
        <v>65</v>
      </c>
      <c r="C321" s="48">
        <v>46078</v>
      </c>
      <c r="D321" s="47" t="s">
        <v>359</v>
      </c>
      <c r="E321" s="58" t="s">
        <v>216</v>
      </c>
      <c r="F321" s="50">
        <v>646.83000000000004</v>
      </c>
    </row>
    <row r="322" spans="1:6" x14ac:dyDescent="0.25">
      <c r="A322" s="47"/>
      <c r="B322" s="47" t="s">
        <v>65</v>
      </c>
      <c r="C322" s="48">
        <v>46078</v>
      </c>
      <c r="D322" s="47" t="s">
        <v>360</v>
      </c>
      <c r="E322" s="58" t="s">
        <v>216</v>
      </c>
      <c r="F322" s="50">
        <v>43.37</v>
      </c>
    </row>
    <row r="323" spans="1:6" x14ac:dyDescent="0.25">
      <c r="A323" s="47"/>
      <c r="B323" s="47" t="s">
        <v>65</v>
      </c>
      <c r="C323" s="48">
        <v>46079</v>
      </c>
      <c r="D323" s="47" t="s">
        <v>361</v>
      </c>
      <c r="E323" s="58" t="s">
        <v>216</v>
      </c>
      <c r="F323" s="50">
        <v>75.41</v>
      </c>
    </row>
    <row r="324" spans="1:6" x14ac:dyDescent="0.25">
      <c r="A324" s="47"/>
      <c r="B324" s="47" t="s">
        <v>65</v>
      </c>
      <c r="C324" s="48">
        <v>46080</v>
      </c>
      <c r="D324" s="47" t="s">
        <v>362</v>
      </c>
      <c r="E324" s="58" t="s">
        <v>216</v>
      </c>
      <c r="F324" s="50">
        <v>265.44</v>
      </c>
    </row>
    <row r="325" spans="1:6" x14ac:dyDescent="0.25">
      <c r="A325" s="47"/>
      <c r="B325" s="47" t="s">
        <v>65</v>
      </c>
      <c r="C325" s="48">
        <v>46083</v>
      </c>
      <c r="D325" s="47" t="s">
        <v>363</v>
      </c>
      <c r="E325" s="58" t="s">
        <v>216</v>
      </c>
      <c r="F325" s="50">
        <v>27.94</v>
      </c>
    </row>
    <row r="326" spans="1:6" x14ac:dyDescent="0.25">
      <c r="A326" s="47"/>
      <c r="B326" s="47" t="s">
        <v>65</v>
      </c>
      <c r="C326" s="48">
        <v>46088</v>
      </c>
      <c r="D326" s="47" t="s">
        <v>364</v>
      </c>
      <c r="E326" s="58" t="s">
        <v>83</v>
      </c>
      <c r="F326" s="50">
        <v>102.11</v>
      </c>
    </row>
    <row r="327" spans="1:6" x14ac:dyDescent="0.25">
      <c r="A327" s="47"/>
      <c r="B327" s="47" t="s">
        <v>65</v>
      </c>
      <c r="C327" s="48">
        <v>46094</v>
      </c>
      <c r="D327" s="47" t="s">
        <v>365</v>
      </c>
      <c r="E327" s="58" t="s">
        <v>83</v>
      </c>
      <c r="F327" s="50">
        <v>48.5</v>
      </c>
    </row>
    <row r="328" spans="1:6" x14ac:dyDescent="0.25">
      <c r="A328" s="47"/>
      <c r="B328" s="47" t="s">
        <v>65</v>
      </c>
      <c r="C328" s="48">
        <v>46094</v>
      </c>
      <c r="D328" s="47" t="s">
        <v>366</v>
      </c>
      <c r="E328" s="58" t="s">
        <v>216</v>
      </c>
      <c r="F328" s="50">
        <v>83.89</v>
      </c>
    </row>
    <row r="329" spans="1:6" x14ac:dyDescent="0.25">
      <c r="A329" s="47"/>
      <c r="B329" s="47" t="s">
        <v>65</v>
      </c>
      <c r="C329" s="48">
        <v>46098</v>
      </c>
      <c r="D329" s="47" t="s">
        <v>367</v>
      </c>
      <c r="E329" s="58" t="s">
        <v>216</v>
      </c>
      <c r="F329" s="50">
        <v>62.53</v>
      </c>
    </row>
    <row r="330" spans="1:6" x14ac:dyDescent="0.25">
      <c r="A330" s="47"/>
      <c r="B330" s="47" t="s">
        <v>65</v>
      </c>
      <c r="C330" s="48">
        <v>46102</v>
      </c>
      <c r="D330" s="47" t="s">
        <v>368</v>
      </c>
      <c r="E330" s="58" t="s">
        <v>216</v>
      </c>
      <c r="F330" s="50">
        <v>419.11</v>
      </c>
    </row>
    <row r="331" spans="1:6" x14ac:dyDescent="0.25">
      <c r="A331" s="47"/>
      <c r="B331" s="47" t="s">
        <v>65</v>
      </c>
      <c r="C331" s="48">
        <v>46104</v>
      </c>
      <c r="D331" s="47" t="s">
        <v>369</v>
      </c>
      <c r="E331" s="58" t="s">
        <v>294</v>
      </c>
      <c r="F331" s="50">
        <v>302.39</v>
      </c>
    </row>
    <row r="332" spans="1:6" x14ac:dyDescent="0.25">
      <c r="A332" s="47"/>
      <c r="B332" s="47" t="s">
        <v>65</v>
      </c>
      <c r="C332" s="48">
        <v>46107</v>
      </c>
      <c r="D332" s="47" t="s">
        <v>370</v>
      </c>
      <c r="E332" s="58" t="s">
        <v>294</v>
      </c>
      <c r="F332" s="50">
        <v>253.72</v>
      </c>
    </row>
    <row r="333" spans="1:6" x14ac:dyDescent="0.25">
      <c r="A333" s="47"/>
      <c r="B333" s="47" t="s">
        <v>65</v>
      </c>
      <c r="C333" s="48">
        <v>46111</v>
      </c>
      <c r="D333" s="47" t="s">
        <v>371</v>
      </c>
      <c r="E333" s="58" t="s">
        <v>294</v>
      </c>
      <c r="F333" s="50">
        <v>253.24</v>
      </c>
    </row>
    <row r="334" spans="1:6" x14ac:dyDescent="0.25">
      <c r="A334" s="47"/>
      <c r="B334" s="47" t="s">
        <v>65</v>
      </c>
      <c r="C334" s="48">
        <v>46111</v>
      </c>
      <c r="D334" s="47" t="s">
        <v>372</v>
      </c>
      <c r="E334" s="58" t="s">
        <v>294</v>
      </c>
      <c r="F334" s="50">
        <v>68.38</v>
      </c>
    </row>
    <row r="335" spans="1:6" x14ac:dyDescent="0.25">
      <c r="A335" s="47"/>
      <c r="B335" s="47" t="s">
        <v>198</v>
      </c>
      <c r="C335" s="48">
        <v>46112</v>
      </c>
      <c r="D335" s="47" t="s">
        <v>373</v>
      </c>
      <c r="E335" s="58" t="s">
        <v>294</v>
      </c>
      <c r="F335" s="50">
        <v>-17.14</v>
      </c>
    </row>
    <row r="336" spans="1:6" x14ac:dyDescent="0.25">
      <c r="A336" s="47"/>
      <c r="B336" s="47" t="s">
        <v>65</v>
      </c>
      <c r="C336" s="48">
        <v>46112</v>
      </c>
      <c r="D336" s="47" t="s">
        <v>374</v>
      </c>
      <c r="E336" s="58" t="s">
        <v>294</v>
      </c>
      <c r="F336" s="50">
        <v>30.04</v>
      </c>
    </row>
    <row r="337" spans="1:6" x14ac:dyDescent="0.25">
      <c r="A337" s="47"/>
      <c r="B337" s="47" t="s">
        <v>65</v>
      </c>
      <c r="C337" s="48">
        <v>46112</v>
      </c>
      <c r="D337" s="47" t="s">
        <v>375</v>
      </c>
      <c r="E337" s="58" t="s">
        <v>294</v>
      </c>
      <c r="F337" s="50">
        <v>147.43</v>
      </c>
    </row>
    <row r="338" spans="1:6" x14ac:dyDescent="0.25">
      <c r="A338" s="47"/>
      <c r="B338" s="47" t="s">
        <v>65</v>
      </c>
      <c r="C338" s="48">
        <v>46119</v>
      </c>
      <c r="D338" s="47" t="s">
        <v>376</v>
      </c>
      <c r="E338" s="58" t="s">
        <v>294</v>
      </c>
      <c r="F338" s="50">
        <v>514.91</v>
      </c>
    </row>
    <row r="339" spans="1:6" x14ac:dyDescent="0.25">
      <c r="A339" s="47"/>
      <c r="B339" s="47" t="s">
        <v>65</v>
      </c>
      <c r="C339" s="48">
        <v>46119</v>
      </c>
      <c r="D339" s="47" t="s">
        <v>377</v>
      </c>
      <c r="E339" s="58" t="s">
        <v>294</v>
      </c>
      <c r="F339" s="50">
        <v>372.72</v>
      </c>
    </row>
    <row r="340" spans="1:6" x14ac:dyDescent="0.25">
      <c r="A340" s="47"/>
      <c r="B340" s="47" t="s">
        <v>65</v>
      </c>
      <c r="C340" s="48">
        <v>46121</v>
      </c>
      <c r="D340" s="47" t="s">
        <v>378</v>
      </c>
      <c r="E340" s="58" t="s">
        <v>294</v>
      </c>
      <c r="F340" s="50">
        <v>110.7</v>
      </c>
    </row>
    <row r="341" spans="1:6" x14ac:dyDescent="0.25">
      <c r="A341" s="47"/>
      <c r="B341" s="47" t="s">
        <v>65</v>
      </c>
      <c r="C341" s="48">
        <v>46125</v>
      </c>
      <c r="D341" s="47" t="s">
        <v>379</v>
      </c>
      <c r="E341" s="58" t="s">
        <v>294</v>
      </c>
      <c r="F341" s="50">
        <v>646.51</v>
      </c>
    </row>
    <row r="342" spans="1:6" x14ac:dyDescent="0.25">
      <c r="A342" s="47"/>
      <c r="B342" s="47" t="s">
        <v>65</v>
      </c>
      <c r="C342" s="48">
        <v>46125</v>
      </c>
      <c r="D342" s="47" t="s">
        <v>380</v>
      </c>
      <c r="E342" s="58" t="s">
        <v>294</v>
      </c>
      <c r="F342" s="50">
        <v>84.89</v>
      </c>
    </row>
    <row r="343" spans="1:6" x14ac:dyDescent="0.25">
      <c r="A343" s="47"/>
      <c r="B343" s="47" t="s">
        <v>65</v>
      </c>
      <c r="C343" s="48">
        <v>46125</v>
      </c>
      <c r="D343" s="47" t="s">
        <v>381</v>
      </c>
      <c r="E343" s="58" t="s">
        <v>294</v>
      </c>
      <c r="F343" s="50">
        <v>111.49</v>
      </c>
    </row>
    <row r="344" spans="1:6" x14ac:dyDescent="0.25">
      <c r="A344" s="47"/>
      <c r="B344" s="47" t="s">
        <v>65</v>
      </c>
      <c r="C344" s="48">
        <v>46126</v>
      </c>
      <c r="D344" s="47" t="s">
        <v>382</v>
      </c>
      <c r="E344" s="58" t="s">
        <v>294</v>
      </c>
      <c r="F344" s="50">
        <v>185.12</v>
      </c>
    </row>
    <row r="345" spans="1:6" x14ac:dyDescent="0.25">
      <c r="A345" s="47"/>
      <c r="B345" s="47" t="s">
        <v>65</v>
      </c>
      <c r="C345" s="48">
        <v>46127</v>
      </c>
      <c r="D345" s="47" t="s">
        <v>383</v>
      </c>
      <c r="E345" s="58" t="s">
        <v>294</v>
      </c>
      <c r="F345" s="50">
        <v>104.23</v>
      </c>
    </row>
    <row r="346" spans="1:6" x14ac:dyDescent="0.25">
      <c r="A346" s="47"/>
      <c r="B346" s="47" t="s">
        <v>65</v>
      </c>
      <c r="C346" s="48">
        <v>46128</v>
      </c>
      <c r="D346" s="47" t="s">
        <v>384</v>
      </c>
      <c r="E346" s="58" t="s">
        <v>294</v>
      </c>
      <c r="F346" s="50">
        <v>277.41000000000003</v>
      </c>
    </row>
    <row r="347" spans="1:6" x14ac:dyDescent="0.25">
      <c r="A347" s="47"/>
      <c r="B347" s="47" t="s">
        <v>65</v>
      </c>
      <c r="C347" s="48">
        <v>46128</v>
      </c>
      <c r="D347" s="47" t="s">
        <v>385</v>
      </c>
      <c r="E347" s="58" t="s">
        <v>294</v>
      </c>
      <c r="F347" s="50">
        <v>13.31</v>
      </c>
    </row>
    <row r="348" spans="1:6" x14ac:dyDescent="0.25">
      <c r="A348" s="47"/>
      <c r="B348" s="47" t="s">
        <v>65</v>
      </c>
      <c r="C348" s="48">
        <v>46129</v>
      </c>
      <c r="D348" s="47" t="s">
        <v>386</v>
      </c>
      <c r="E348" s="58" t="s">
        <v>294</v>
      </c>
      <c r="F348" s="50">
        <v>175.79</v>
      </c>
    </row>
    <row r="349" spans="1:6" x14ac:dyDescent="0.25">
      <c r="A349" s="47"/>
      <c r="B349" s="47" t="s">
        <v>65</v>
      </c>
      <c r="C349" s="48">
        <v>46143</v>
      </c>
      <c r="D349" s="47" t="s">
        <v>387</v>
      </c>
      <c r="E349" s="58" t="s">
        <v>294</v>
      </c>
      <c r="F349" s="50">
        <v>604.19000000000005</v>
      </c>
    </row>
    <row r="350" spans="1:6" x14ac:dyDescent="0.25">
      <c r="A350" s="47"/>
      <c r="B350" s="47" t="s">
        <v>65</v>
      </c>
      <c r="C350" s="48">
        <v>46146</v>
      </c>
      <c r="D350" s="47" t="s">
        <v>388</v>
      </c>
      <c r="E350" s="58" t="s">
        <v>294</v>
      </c>
      <c r="F350" s="50">
        <v>183.01</v>
      </c>
    </row>
    <row r="351" spans="1:6" x14ac:dyDescent="0.25">
      <c r="A351" s="47"/>
      <c r="B351" s="47" t="s">
        <v>65</v>
      </c>
      <c r="C351" s="48">
        <v>46147</v>
      </c>
      <c r="D351" s="47" t="s">
        <v>389</v>
      </c>
      <c r="E351" s="58" t="s">
        <v>294</v>
      </c>
      <c r="F351" s="50">
        <v>171.08</v>
      </c>
    </row>
    <row r="352" spans="1:6" x14ac:dyDescent="0.25">
      <c r="A352" s="47"/>
      <c r="B352" s="47" t="s">
        <v>65</v>
      </c>
      <c r="C352" s="48">
        <v>46147</v>
      </c>
      <c r="D352" s="47" t="s">
        <v>390</v>
      </c>
      <c r="E352" s="58" t="s">
        <v>294</v>
      </c>
      <c r="F352" s="50">
        <v>22.34</v>
      </c>
    </row>
    <row r="353" spans="1:6" x14ac:dyDescent="0.25">
      <c r="A353" s="47"/>
      <c r="B353" s="47" t="s">
        <v>65</v>
      </c>
      <c r="C353" s="48">
        <v>46148</v>
      </c>
      <c r="D353" s="47" t="s">
        <v>391</v>
      </c>
      <c r="E353" s="58" t="s">
        <v>294</v>
      </c>
      <c r="F353" s="50">
        <v>36.53</v>
      </c>
    </row>
    <row r="354" spans="1:6" x14ac:dyDescent="0.25">
      <c r="A354" s="47"/>
      <c r="B354" s="47" t="s">
        <v>65</v>
      </c>
      <c r="C354" s="48">
        <v>46155</v>
      </c>
      <c r="D354" s="47" t="s">
        <v>392</v>
      </c>
      <c r="E354" s="58" t="s">
        <v>294</v>
      </c>
      <c r="F354" s="50">
        <v>42.55</v>
      </c>
    </row>
    <row r="355" spans="1:6" x14ac:dyDescent="0.25">
      <c r="A355" s="47"/>
      <c r="B355" s="47" t="s">
        <v>65</v>
      </c>
      <c r="C355" s="48">
        <v>46155</v>
      </c>
      <c r="D355" s="47" t="s">
        <v>393</v>
      </c>
      <c r="E355" s="58" t="s">
        <v>294</v>
      </c>
      <c r="F355" s="50">
        <v>459</v>
      </c>
    </row>
    <row r="356" spans="1:6" x14ac:dyDescent="0.25">
      <c r="A356" s="47"/>
      <c r="B356" s="47" t="s">
        <v>209</v>
      </c>
      <c r="C356" s="48">
        <v>46168</v>
      </c>
      <c r="D356" s="47" t="s">
        <v>394</v>
      </c>
      <c r="E356" s="58" t="s">
        <v>294</v>
      </c>
      <c r="F356" s="50">
        <v>76.12</v>
      </c>
    </row>
    <row r="357" spans="1:6" x14ac:dyDescent="0.25">
      <c r="A357" s="47"/>
      <c r="B357" s="47" t="s">
        <v>65</v>
      </c>
      <c r="C357" s="48">
        <v>46169</v>
      </c>
      <c r="D357" s="47" t="s">
        <v>395</v>
      </c>
      <c r="E357" s="58" t="s">
        <v>294</v>
      </c>
      <c r="F357" s="50">
        <v>219.94</v>
      </c>
    </row>
    <row r="358" spans="1:6" x14ac:dyDescent="0.25">
      <c r="A358" s="47"/>
      <c r="B358" s="47" t="s">
        <v>65</v>
      </c>
      <c r="C358" s="48">
        <v>46169</v>
      </c>
      <c r="D358" s="47" t="s">
        <v>396</v>
      </c>
      <c r="E358" s="58" t="s">
        <v>294</v>
      </c>
      <c r="F358" s="50">
        <v>36.31</v>
      </c>
    </row>
    <row r="359" spans="1:6" x14ac:dyDescent="0.25">
      <c r="A359" s="47"/>
      <c r="B359" s="47" t="s">
        <v>65</v>
      </c>
      <c r="C359" s="48">
        <v>46171</v>
      </c>
      <c r="D359" s="47" t="s">
        <v>397</v>
      </c>
      <c r="E359" s="58" t="s">
        <v>294</v>
      </c>
      <c r="F359" s="50">
        <v>38.270000000000003</v>
      </c>
    </row>
    <row r="360" spans="1:6" x14ac:dyDescent="0.25">
      <c r="A360" s="47"/>
      <c r="B360" s="47" t="s">
        <v>65</v>
      </c>
      <c r="C360" s="48">
        <v>46174</v>
      </c>
      <c r="D360" s="47" t="s">
        <v>398</v>
      </c>
      <c r="E360" s="58" t="s">
        <v>294</v>
      </c>
      <c r="F360" s="50">
        <v>9.49</v>
      </c>
    </row>
    <row r="361" spans="1:6" x14ac:dyDescent="0.25">
      <c r="A361" s="47"/>
      <c r="B361" s="47" t="s">
        <v>65</v>
      </c>
      <c r="C361" s="48">
        <v>46174</v>
      </c>
      <c r="D361" s="47" t="s">
        <v>399</v>
      </c>
      <c r="E361" s="58" t="s">
        <v>294</v>
      </c>
      <c r="F361" s="50">
        <v>31.9</v>
      </c>
    </row>
    <row r="362" spans="1:6" x14ac:dyDescent="0.25">
      <c r="A362" s="47"/>
      <c r="B362" s="47" t="s">
        <v>65</v>
      </c>
      <c r="C362" s="48">
        <v>46174</v>
      </c>
      <c r="D362" s="47" t="s">
        <v>400</v>
      </c>
      <c r="E362" s="58" t="s">
        <v>294</v>
      </c>
      <c r="F362" s="50">
        <v>136.28</v>
      </c>
    </row>
    <row r="363" spans="1:6" x14ac:dyDescent="0.25">
      <c r="A363" s="47"/>
      <c r="B363" s="47" t="s">
        <v>65</v>
      </c>
      <c r="C363" s="48">
        <v>46176</v>
      </c>
      <c r="D363" s="47" t="s">
        <v>401</v>
      </c>
      <c r="E363" s="58" t="s">
        <v>294</v>
      </c>
      <c r="F363" s="50">
        <v>43.52</v>
      </c>
    </row>
    <row r="364" spans="1:6" x14ac:dyDescent="0.25">
      <c r="A364" s="47"/>
      <c r="B364" s="47" t="s">
        <v>65</v>
      </c>
      <c r="C364" s="48">
        <v>46176</v>
      </c>
      <c r="D364" s="47" t="s">
        <v>402</v>
      </c>
      <c r="E364" s="58" t="s">
        <v>294</v>
      </c>
      <c r="F364" s="50">
        <v>57.43</v>
      </c>
    </row>
    <row r="365" spans="1:6" x14ac:dyDescent="0.25">
      <c r="A365" s="47"/>
      <c r="B365" s="47" t="s">
        <v>65</v>
      </c>
      <c r="C365" s="48">
        <v>46176</v>
      </c>
      <c r="D365" s="47" t="s">
        <v>403</v>
      </c>
      <c r="E365" s="58" t="s">
        <v>294</v>
      </c>
      <c r="F365" s="50">
        <v>208.61</v>
      </c>
    </row>
    <row r="366" spans="1:6" x14ac:dyDescent="0.25">
      <c r="A366" s="47"/>
      <c r="B366" s="47" t="s">
        <v>65</v>
      </c>
      <c r="C366" s="48">
        <v>46177</v>
      </c>
      <c r="D366" s="47" t="s">
        <v>404</v>
      </c>
      <c r="E366" s="58" t="s">
        <v>294</v>
      </c>
      <c r="F366" s="50">
        <v>335.71</v>
      </c>
    </row>
    <row r="367" spans="1:6" x14ac:dyDescent="0.25">
      <c r="A367" s="47"/>
      <c r="B367" s="47" t="s">
        <v>65</v>
      </c>
      <c r="C367" s="48">
        <v>46177</v>
      </c>
      <c r="D367" s="47" t="s">
        <v>405</v>
      </c>
      <c r="E367" s="58" t="s">
        <v>294</v>
      </c>
      <c r="F367" s="50">
        <v>177.08</v>
      </c>
    </row>
    <row r="368" spans="1:6" x14ac:dyDescent="0.25">
      <c r="A368" s="47"/>
      <c r="B368" s="47" t="s">
        <v>65</v>
      </c>
      <c r="C368" s="48">
        <v>46179</v>
      </c>
      <c r="D368" s="47" t="s">
        <v>406</v>
      </c>
      <c r="E368" s="58" t="s">
        <v>294</v>
      </c>
      <c r="F368" s="50">
        <v>155.59</v>
      </c>
    </row>
    <row r="369" spans="1:6" x14ac:dyDescent="0.25">
      <c r="A369" s="47"/>
      <c r="B369" s="47" t="s">
        <v>65</v>
      </c>
      <c r="C369" s="48">
        <v>46181</v>
      </c>
      <c r="D369" s="47" t="s">
        <v>469</v>
      </c>
      <c r="E369" s="58" t="s">
        <v>294</v>
      </c>
      <c r="F369" s="50">
        <v>136.15</v>
      </c>
    </row>
    <row r="370" spans="1:6" x14ac:dyDescent="0.25">
      <c r="A370" s="47"/>
      <c r="B370" s="47" t="s">
        <v>65</v>
      </c>
      <c r="C370" s="48">
        <v>46181</v>
      </c>
      <c r="D370" s="47" t="s">
        <v>470</v>
      </c>
      <c r="E370" s="58" t="s">
        <v>294</v>
      </c>
      <c r="F370" s="50">
        <v>308.62</v>
      </c>
    </row>
    <row r="371" spans="1:6" x14ac:dyDescent="0.25">
      <c r="A371" s="47"/>
      <c r="B371" s="47" t="s">
        <v>65</v>
      </c>
      <c r="C371" s="48">
        <v>46182</v>
      </c>
      <c r="D371" s="47" t="s">
        <v>471</v>
      </c>
      <c r="E371" s="58" t="s">
        <v>294</v>
      </c>
      <c r="F371" s="50">
        <v>21.27</v>
      </c>
    </row>
    <row r="372" spans="1:6" x14ac:dyDescent="0.25">
      <c r="A372" s="47"/>
      <c r="B372" s="47" t="s">
        <v>65</v>
      </c>
      <c r="C372" s="48">
        <v>46183</v>
      </c>
      <c r="D372" s="47" t="s">
        <v>472</v>
      </c>
      <c r="E372" s="58" t="s">
        <v>294</v>
      </c>
      <c r="F372" s="50">
        <v>363.93</v>
      </c>
    </row>
    <row r="373" spans="1:6" x14ac:dyDescent="0.25">
      <c r="A373" s="47"/>
      <c r="B373" s="47" t="s">
        <v>65</v>
      </c>
      <c r="C373" s="48">
        <v>46184</v>
      </c>
      <c r="D373" s="47" t="s">
        <v>473</v>
      </c>
      <c r="E373" s="58" t="s">
        <v>294</v>
      </c>
      <c r="F373" s="50">
        <v>94.01</v>
      </c>
    </row>
    <row r="374" spans="1:6" x14ac:dyDescent="0.25">
      <c r="A374" s="47"/>
      <c r="B374" s="47" t="s">
        <v>65</v>
      </c>
      <c r="C374" s="48">
        <v>46184</v>
      </c>
      <c r="D374" s="47" t="s">
        <v>474</v>
      </c>
      <c r="E374" s="58" t="s">
        <v>294</v>
      </c>
      <c r="F374" s="50">
        <v>851.18</v>
      </c>
    </row>
    <row r="375" spans="1:6" x14ac:dyDescent="0.25">
      <c r="A375" s="47"/>
      <c r="B375" s="47" t="s">
        <v>65</v>
      </c>
      <c r="C375" s="48">
        <v>46189</v>
      </c>
      <c r="D375" s="47" t="s">
        <v>475</v>
      </c>
      <c r="E375" s="58" t="s">
        <v>294</v>
      </c>
      <c r="F375" s="50">
        <v>61.94</v>
      </c>
    </row>
    <row r="376" spans="1:6" x14ac:dyDescent="0.25">
      <c r="A376" s="47"/>
      <c r="B376" s="47" t="s">
        <v>65</v>
      </c>
      <c r="C376" s="48">
        <v>46189</v>
      </c>
      <c r="D376" s="47" t="s">
        <v>476</v>
      </c>
      <c r="E376" s="58" t="s">
        <v>294</v>
      </c>
      <c r="F376" s="50">
        <v>230.44</v>
      </c>
    </row>
    <row r="377" spans="1:6" x14ac:dyDescent="0.25">
      <c r="A377" s="47"/>
      <c r="B377" s="47" t="s">
        <v>65</v>
      </c>
      <c r="C377" s="48">
        <v>46191</v>
      </c>
      <c r="D377" s="47" t="s">
        <v>477</v>
      </c>
      <c r="E377" s="58" t="s">
        <v>294</v>
      </c>
      <c r="F377" s="50">
        <v>8.42</v>
      </c>
    </row>
    <row r="378" spans="1:6" x14ac:dyDescent="0.25">
      <c r="A378" s="47"/>
      <c r="B378" s="47" t="s">
        <v>65</v>
      </c>
      <c r="C378" s="48">
        <v>46191</v>
      </c>
      <c r="D378" s="47" t="s">
        <v>478</v>
      </c>
      <c r="E378" s="58" t="s">
        <v>294</v>
      </c>
      <c r="F378" s="50">
        <v>138.41</v>
      </c>
    </row>
    <row r="379" spans="1:6" x14ac:dyDescent="0.25">
      <c r="A379" s="47"/>
      <c r="B379" s="47" t="s">
        <v>65</v>
      </c>
      <c r="C379" s="48">
        <v>46193</v>
      </c>
      <c r="D379" s="47" t="s">
        <v>479</v>
      </c>
      <c r="E379" s="58" t="s">
        <v>294</v>
      </c>
      <c r="F379" s="50">
        <v>67.88</v>
      </c>
    </row>
    <row r="380" spans="1:6" x14ac:dyDescent="0.25">
      <c r="A380" s="47"/>
      <c r="B380" s="47" t="s">
        <v>65</v>
      </c>
      <c r="C380" s="48">
        <v>46195</v>
      </c>
      <c r="D380" s="47" t="s">
        <v>543</v>
      </c>
      <c r="E380" s="58" t="s">
        <v>294</v>
      </c>
      <c r="F380" s="50">
        <v>26.11</v>
      </c>
    </row>
    <row r="381" spans="1:6" x14ac:dyDescent="0.25">
      <c r="A381" s="47"/>
      <c r="B381" s="47" t="s">
        <v>65</v>
      </c>
      <c r="C381" s="48">
        <v>46197</v>
      </c>
      <c r="D381" s="47" t="s">
        <v>480</v>
      </c>
      <c r="E381" s="58" t="s">
        <v>294</v>
      </c>
      <c r="F381" s="50">
        <v>62.63</v>
      </c>
    </row>
    <row r="382" spans="1:6" x14ac:dyDescent="0.25">
      <c r="A382" s="47"/>
      <c r="B382" s="47" t="s">
        <v>65</v>
      </c>
      <c r="C382" s="48">
        <v>46203</v>
      </c>
      <c r="D382" s="47" t="s">
        <v>544</v>
      </c>
      <c r="E382" s="58" t="s">
        <v>294</v>
      </c>
      <c r="F382" s="50">
        <v>56.77</v>
      </c>
    </row>
    <row r="383" spans="1:6" x14ac:dyDescent="0.25">
      <c r="A383" s="47"/>
      <c r="B383" s="47" t="s">
        <v>65</v>
      </c>
      <c r="C383" s="48">
        <v>46205</v>
      </c>
      <c r="D383" s="47" t="s">
        <v>545</v>
      </c>
      <c r="E383" s="58" t="s">
        <v>294</v>
      </c>
      <c r="F383" s="50">
        <v>11.65</v>
      </c>
    </row>
    <row r="384" spans="1:6" x14ac:dyDescent="0.25">
      <c r="A384" s="47"/>
      <c r="B384" s="47" t="s">
        <v>65</v>
      </c>
      <c r="C384" s="48">
        <v>46205</v>
      </c>
      <c r="D384" s="47" t="s">
        <v>546</v>
      </c>
      <c r="E384" s="58" t="s">
        <v>294</v>
      </c>
      <c r="F384" s="50">
        <v>51.66</v>
      </c>
    </row>
    <row r="385" spans="1:6" x14ac:dyDescent="0.25">
      <c r="A385" s="47"/>
      <c r="B385" s="47" t="s">
        <v>65</v>
      </c>
      <c r="C385" s="48">
        <v>46205</v>
      </c>
      <c r="D385" s="47" t="s">
        <v>547</v>
      </c>
      <c r="E385" s="58" t="s">
        <v>98</v>
      </c>
      <c r="F385" s="50">
        <v>4246.3900000000003</v>
      </c>
    </row>
    <row r="386" spans="1:6" x14ac:dyDescent="0.25">
      <c r="A386" s="47"/>
      <c r="B386" s="47" t="s">
        <v>65</v>
      </c>
      <c r="C386" s="48">
        <v>46206</v>
      </c>
      <c r="D386" s="47" t="s">
        <v>548</v>
      </c>
      <c r="E386" s="58" t="s">
        <v>98</v>
      </c>
      <c r="F386" s="50">
        <v>552.54999999999995</v>
      </c>
    </row>
    <row r="387" spans="1:6" x14ac:dyDescent="0.25">
      <c r="A387" s="47"/>
      <c r="B387" s="47" t="s">
        <v>65</v>
      </c>
      <c r="C387" s="48">
        <v>46210</v>
      </c>
      <c r="D387" s="47" t="s">
        <v>549</v>
      </c>
      <c r="E387" s="58" t="s">
        <v>98</v>
      </c>
      <c r="F387" s="50">
        <v>1095.4000000000001</v>
      </c>
    </row>
    <row r="388" spans="1:6" x14ac:dyDescent="0.25">
      <c r="A388" s="47"/>
      <c r="B388" s="47" t="s">
        <v>65</v>
      </c>
      <c r="C388" s="48">
        <v>46211</v>
      </c>
      <c r="D388" s="47" t="s">
        <v>550</v>
      </c>
      <c r="E388" s="58" t="s">
        <v>294</v>
      </c>
      <c r="F388" s="50">
        <v>106.35</v>
      </c>
    </row>
    <row r="389" spans="1:6" x14ac:dyDescent="0.25">
      <c r="A389" s="47"/>
      <c r="B389" s="47" t="s">
        <v>65</v>
      </c>
      <c r="C389" s="48">
        <v>46211</v>
      </c>
      <c r="D389" s="47" t="s">
        <v>551</v>
      </c>
      <c r="E389" s="58" t="s">
        <v>294</v>
      </c>
      <c r="F389" s="50">
        <v>21.27</v>
      </c>
    </row>
    <row r="390" spans="1:6" x14ac:dyDescent="0.25">
      <c r="A390" s="47"/>
      <c r="B390" s="47" t="s">
        <v>65</v>
      </c>
      <c r="C390" s="48">
        <v>46212</v>
      </c>
      <c r="D390" s="47" t="s">
        <v>552</v>
      </c>
      <c r="E390" s="58" t="s">
        <v>294</v>
      </c>
      <c r="F390" s="50">
        <v>42.54</v>
      </c>
    </row>
    <row r="391" spans="1:6" x14ac:dyDescent="0.25">
      <c r="A391" s="47"/>
      <c r="B391" s="47" t="s">
        <v>65</v>
      </c>
      <c r="C391" s="48">
        <v>46214</v>
      </c>
      <c r="D391" s="47" t="s">
        <v>553</v>
      </c>
      <c r="E391" s="58" t="s">
        <v>294</v>
      </c>
      <c r="F391" s="50">
        <v>359.44</v>
      </c>
    </row>
    <row r="392" spans="1:6" x14ac:dyDescent="0.25">
      <c r="A392" s="47"/>
      <c r="B392" s="47" t="s">
        <v>65</v>
      </c>
      <c r="C392" s="48">
        <v>46214</v>
      </c>
      <c r="D392" s="47" t="s">
        <v>554</v>
      </c>
      <c r="E392" s="58" t="s">
        <v>294</v>
      </c>
      <c r="F392" s="50">
        <v>113.43</v>
      </c>
    </row>
    <row r="393" spans="1:6" x14ac:dyDescent="0.25">
      <c r="A393" s="47"/>
      <c r="B393" s="47" t="s">
        <v>65</v>
      </c>
      <c r="C393" s="48">
        <v>46216</v>
      </c>
      <c r="D393" s="47" t="s">
        <v>555</v>
      </c>
      <c r="E393" s="58" t="s">
        <v>99</v>
      </c>
      <c r="F393" s="50">
        <v>265.98</v>
      </c>
    </row>
    <row r="394" spans="1:6" x14ac:dyDescent="0.25">
      <c r="A394" s="47"/>
      <c r="B394" s="47" t="s">
        <v>65</v>
      </c>
      <c r="C394" s="48">
        <v>46217</v>
      </c>
      <c r="D394" s="47" t="s">
        <v>556</v>
      </c>
      <c r="E394" s="58" t="s">
        <v>294</v>
      </c>
      <c r="F394" s="50">
        <v>14.1</v>
      </c>
    </row>
    <row r="395" spans="1:6" ht="15.6" thickBot="1" x14ac:dyDescent="0.3">
      <c r="A395" s="47"/>
      <c r="B395" s="47" t="s">
        <v>65</v>
      </c>
      <c r="C395" s="48">
        <v>46227</v>
      </c>
      <c r="D395" s="47" t="s">
        <v>557</v>
      </c>
      <c r="E395" s="58" t="s">
        <v>294</v>
      </c>
      <c r="F395" s="49">
        <v>204.66</v>
      </c>
    </row>
    <row r="396" spans="1:6" x14ac:dyDescent="0.25">
      <c r="A396" s="47" t="s">
        <v>407</v>
      </c>
      <c r="B396" s="47"/>
      <c r="C396" s="48"/>
      <c r="D396" s="47"/>
      <c r="E396" s="58"/>
      <c r="F396" s="50">
        <f>ROUND(SUM(F318:F395),5)</f>
        <v>18967.71</v>
      </c>
    </row>
    <row r="397" spans="1:6" x14ac:dyDescent="0.25">
      <c r="A397" s="42" t="s">
        <v>408</v>
      </c>
      <c r="B397" s="42"/>
      <c r="C397" s="43"/>
      <c r="D397" s="42"/>
      <c r="E397" s="57"/>
      <c r="F397" s="44"/>
    </row>
    <row r="398" spans="1:6" ht="15.6" thickBot="1" x14ac:dyDescent="0.3">
      <c r="A398" s="46"/>
      <c r="B398" s="47" t="s">
        <v>65</v>
      </c>
      <c r="C398" s="48">
        <v>46083</v>
      </c>
      <c r="D398" s="47" t="s">
        <v>409</v>
      </c>
      <c r="E398" s="58" t="s">
        <v>84</v>
      </c>
      <c r="F398" s="49">
        <v>787.5</v>
      </c>
    </row>
    <row r="399" spans="1:6" x14ac:dyDescent="0.25">
      <c r="A399" s="47" t="s">
        <v>410</v>
      </c>
      <c r="B399" s="47"/>
      <c r="C399" s="48"/>
      <c r="D399" s="47"/>
      <c r="E399" s="58"/>
      <c r="F399" s="50">
        <f>ROUND(SUM(F397:F398),5)</f>
        <v>787.5</v>
      </c>
    </row>
    <row r="400" spans="1:6" x14ac:dyDescent="0.25">
      <c r="A400" s="42" t="s">
        <v>411</v>
      </c>
      <c r="B400" s="42"/>
      <c r="C400" s="43"/>
      <c r="D400" s="42"/>
      <c r="E400" s="57"/>
      <c r="F400" s="44"/>
    </row>
    <row r="401" spans="1:6" x14ac:dyDescent="0.25">
      <c r="A401" s="47"/>
      <c r="B401" s="47" t="s">
        <v>65</v>
      </c>
      <c r="C401" s="48">
        <v>46080</v>
      </c>
      <c r="D401" s="47" t="s">
        <v>412</v>
      </c>
      <c r="E401" s="58" t="s">
        <v>155</v>
      </c>
      <c r="F401" s="50">
        <v>705.6</v>
      </c>
    </row>
    <row r="402" spans="1:6" ht="15.6" thickBot="1" x14ac:dyDescent="0.3">
      <c r="A402" s="47"/>
      <c r="B402" s="47" t="s">
        <v>65</v>
      </c>
      <c r="C402" s="48">
        <v>46191</v>
      </c>
      <c r="D402" s="47" t="s">
        <v>481</v>
      </c>
      <c r="E402" s="58" t="s">
        <v>155</v>
      </c>
      <c r="F402" s="49">
        <v>118.19</v>
      </c>
    </row>
    <row r="403" spans="1:6" x14ac:dyDescent="0.25">
      <c r="A403" s="47" t="s">
        <v>413</v>
      </c>
      <c r="B403" s="47"/>
      <c r="C403" s="48"/>
      <c r="D403" s="47"/>
      <c r="E403" s="58"/>
      <c r="F403" s="50">
        <f>ROUND(SUM(F400:F402),5)</f>
        <v>823.79</v>
      </c>
    </row>
    <row r="404" spans="1:6" x14ac:dyDescent="0.25">
      <c r="A404" s="42" t="s">
        <v>414</v>
      </c>
      <c r="B404" s="42"/>
      <c r="C404" s="43"/>
      <c r="D404" s="42"/>
      <c r="E404" s="57"/>
      <c r="F404" s="44"/>
    </row>
    <row r="405" spans="1:6" x14ac:dyDescent="0.25">
      <c r="A405" s="47"/>
      <c r="B405" s="47" t="s">
        <v>209</v>
      </c>
      <c r="C405" s="48">
        <v>46117</v>
      </c>
      <c r="D405" s="47" t="s">
        <v>415</v>
      </c>
      <c r="E405" s="58" t="s">
        <v>294</v>
      </c>
      <c r="F405" s="50">
        <v>138.03</v>
      </c>
    </row>
    <row r="406" spans="1:6" x14ac:dyDescent="0.25">
      <c r="A406" s="47"/>
      <c r="B406" s="47" t="s">
        <v>209</v>
      </c>
      <c r="C406" s="48">
        <v>46199</v>
      </c>
      <c r="D406" s="47" t="s">
        <v>558</v>
      </c>
      <c r="E406" s="58" t="s">
        <v>294</v>
      </c>
      <c r="F406" s="50">
        <v>260.45</v>
      </c>
    </row>
    <row r="407" spans="1:6" ht="15.6" thickBot="1" x14ac:dyDescent="0.3">
      <c r="A407" s="47"/>
      <c r="B407" s="47" t="s">
        <v>209</v>
      </c>
      <c r="C407" s="48">
        <v>46204</v>
      </c>
      <c r="D407" s="47" t="s">
        <v>559</v>
      </c>
      <c r="E407" s="58" t="s">
        <v>155</v>
      </c>
      <c r="F407" s="49">
        <v>112.42</v>
      </c>
    </row>
    <row r="408" spans="1:6" x14ac:dyDescent="0.25">
      <c r="A408" s="47" t="s">
        <v>416</v>
      </c>
      <c r="B408" s="47"/>
      <c r="C408" s="48"/>
      <c r="D408" s="47"/>
      <c r="E408" s="58"/>
      <c r="F408" s="50">
        <f>ROUND(SUM(F404:F407),5)</f>
        <v>510.9</v>
      </c>
    </row>
    <row r="409" spans="1:6" x14ac:dyDescent="0.25">
      <c r="A409" s="42" t="s">
        <v>417</v>
      </c>
      <c r="B409" s="42"/>
      <c r="C409" s="43"/>
      <c r="D409" s="42"/>
      <c r="E409" s="57"/>
      <c r="F409" s="44"/>
    </row>
    <row r="410" spans="1:6" ht="15.6" thickBot="1" x14ac:dyDescent="0.3">
      <c r="A410" s="46"/>
      <c r="B410" s="47" t="s">
        <v>65</v>
      </c>
      <c r="C410" s="48">
        <v>46000</v>
      </c>
      <c r="D410" s="47" t="s">
        <v>418</v>
      </c>
      <c r="E410" s="58" t="s">
        <v>77</v>
      </c>
      <c r="F410" s="49">
        <v>1250</v>
      </c>
    </row>
    <row r="411" spans="1:6" x14ac:dyDescent="0.25">
      <c r="A411" s="47" t="s">
        <v>419</v>
      </c>
      <c r="B411" s="47"/>
      <c r="C411" s="48"/>
      <c r="D411" s="47"/>
      <c r="E411" s="58"/>
      <c r="F411" s="50">
        <f>ROUND(SUM(F409:F410),5)</f>
        <v>1250</v>
      </c>
    </row>
    <row r="412" spans="1:6" x14ac:dyDescent="0.25">
      <c r="A412" s="42" t="s">
        <v>560</v>
      </c>
      <c r="B412" s="42"/>
      <c r="C412" s="43"/>
      <c r="D412" s="42"/>
      <c r="E412" s="57"/>
      <c r="F412" s="44"/>
    </row>
    <row r="413" spans="1:6" ht="15.6" thickBot="1" x14ac:dyDescent="0.3">
      <c r="A413" s="46"/>
      <c r="B413" s="47" t="s">
        <v>209</v>
      </c>
      <c r="C413" s="48">
        <v>46178</v>
      </c>
      <c r="D413" s="47"/>
      <c r="E413" s="58" t="s">
        <v>294</v>
      </c>
      <c r="F413" s="49">
        <v>77.08</v>
      </c>
    </row>
    <row r="414" spans="1:6" x14ac:dyDescent="0.25">
      <c r="A414" s="47" t="s">
        <v>561</v>
      </c>
      <c r="B414" s="47"/>
      <c r="C414" s="48"/>
      <c r="D414" s="47"/>
      <c r="E414" s="58"/>
      <c r="F414" s="50">
        <f>ROUND(SUM(F412:F413),5)</f>
        <v>77.08</v>
      </c>
    </row>
    <row r="415" spans="1:6" x14ac:dyDescent="0.25">
      <c r="A415" s="42" t="s">
        <v>482</v>
      </c>
      <c r="B415" s="42"/>
      <c r="C415" s="43"/>
      <c r="D415" s="42"/>
      <c r="E415" s="57"/>
      <c r="F415" s="44"/>
    </row>
    <row r="416" spans="1:6" ht="15.6" thickBot="1" x14ac:dyDescent="0.3">
      <c r="A416" s="46"/>
      <c r="B416" s="47" t="s">
        <v>65</v>
      </c>
      <c r="C416" s="48">
        <v>46183</v>
      </c>
      <c r="D416" s="47" t="s">
        <v>483</v>
      </c>
      <c r="E416" s="58" t="s">
        <v>294</v>
      </c>
      <c r="F416" s="49">
        <v>1804.69</v>
      </c>
    </row>
    <row r="417" spans="1:6" x14ac:dyDescent="0.25">
      <c r="A417" s="47" t="s">
        <v>484</v>
      </c>
      <c r="B417" s="47"/>
      <c r="C417" s="48"/>
      <c r="D417" s="47"/>
      <c r="E417" s="58"/>
      <c r="F417" s="50">
        <f>ROUND(SUM(F415:F416),5)</f>
        <v>1804.69</v>
      </c>
    </row>
    <row r="418" spans="1:6" x14ac:dyDescent="0.25">
      <c r="A418" s="42" t="s">
        <v>420</v>
      </c>
      <c r="B418" s="42"/>
      <c r="C418" s="43"/>
      <c r="D418" s="42"/>
      <c r="E418" s="57"/>
      <c r="F418" s="44"/>
    </row>
    <row r="419" spans="1:6" x14ac:dyDescent="0.25">
      <c r="A419" s="47"/>
      <c r="B419" s="47" t="s">
        <v>65</v>
      </c>
      <c r="C419" s="48">
        <v>46114</v>
      </c>
      <c r="D419" s="47" t="s">
        <v>421</v>
      </c>
      <c r="E419" s="58" t="s">
        <v>294</v>
      </c>
      <c r="F419" s="50">
        <v>223.29</v>
      </c>
    </row>
    <row r="420" spans="1:6" ht="15.6" thickBot="1" x14ac:dyDescent="0.3">
      <c r="A420" s="47"/>
      <c r="B420" s="47" t="s">
        <v>65</v>
      </c>
      <c r="C420" s="48">
        <v>46114</v>
      </c>
      <c r="D420" s="47" t="s">
        <v>422</v>
      </c>
      <c r="E420" s="58" t="s">
        <v>294</v>
      </c>
      <c r="F420" s="49">
        <v>20.81</v>
      </c>
    </row>
    <row r="421" spans="1:6" x14ac:dyDescent="0.25">
      <c r="A421" s="47" t="s">
        <v>423</v>
      </c>
      <c r="B421" s="47"/>
      <c r="C421" s="48"/>
      <c r="D421" s="47"/>
      <c r="E421" s="58"/>
      <c r="F421" s="50">
        <f>ROUND(SUM(F418:F420),5)</f>
        <v>244.1</v>
      </c>
    </row>
    <row r="422" spans="1:6" x14ac:dyDescent="0.25">
      <c r="A422" s="42" t="s">
        <v>424</v>
      </c>
      <c r="B422" s="42"/>
      <c r="C422" s="43"/>
      <c r="D422" s="42"/>
      <c r="E422" s="57"/>
      <c r="F422" s="44"/>
    </row>
    <row r="423" spans="1:6" x14ac:dyDescent="0.25">
      <c r="A423" s="47"/>
      <c r="B423" s="47" t="s">
        <v>65</v>
      </c>
      <c r="C423" s="48">
        <v>46023</v>
      </c>
      <c r="D423" s="47" t="s">
        <v>425</v>
      </c>
      <c r="E423" s="58" t="s">
        <v>82</v>
      </c>
      <c r="F423" s="50">
        <v>5775</v>
      </c>
    </row>
    <row r="424" spans="1:6" x14ac:dyDescent="0.25">
      <c r="A424" s="47"/>
      <c r="B424" s="47" t="s">
        <v>65</v>
      </c>
      <c r="C424" s="48">
        <v>46053</v>
      </c>
      <c r="D424" s="47" t="s">
        <v>426</v>
      </c>
      <c r="E424" s="58" t="s">
        <v>82</v>
      </c>
      <c r="F424" s="50">
        <v>530.25</v>
      </c>
    </row>
    <row r="425" spans="1:6" x14ac:dyDescent="0.25">
      <c r="A425" s="47"/>
      <c r="B425" s="47" t="s">
        <v>65</v>
      </c>
      <c r="C425" s="48">
        <v>46081</v>
      </c>
      <c r="D425" s="47" t="s">
        <v>427</v>
      </c>
      <c r="E425" s="58" t="s">
        <v>82</v>
      </c>
      <c r="F425" s="50">
        <v>908.67</v>
      </c>
    </row>
    <row r="426" spans="1:6" x14ac:dyDescent="0.25">
      <c r="A426" s="47"/>
      <c r="B426" s="47" t="s">
        <v>65</v>
      </c>
      <c r="C426" s="48">
        <v>46142</v>
      </c>
      <c r="D426" s="47" t="s">
        <v>428</v>
      </c>
      <c r="E426" s="58" t="s">
        <v>82</v>
      </c>
      <c r="F426" s="50">
        <v>162.75</v>
      </c>
    </row>
    <row r="427" spans="1:6" ht="15.6" thickBot="1" x14ac:dyDescent="0.3">
      <c r="A427" s="47"/>
      <c r="B427" s="47" t="s">
        <v>65</v>
      </c>
      <c r="C427" s="48">
        <v>46203</v>
      </c>
      <c r="D427" s="47" t="s">
        <v>562</v>
      </c>
      <c r="E427" s="58" t="s">
        <v>82</v>
      </c>
      <c r="F427" s="49">
        <v>472.5</v>
      </c>
    </row>
    <row r="428" spans="1:6" x14ac:dyDescent="0.25">
      <c r="A428" s="47" t="s">
        <v>429</v>
      </c>
      <c r="B428" s="47"/>
      <c r="C428" s="48"/>
      <c r="D428" s="47"/>
      <c r="E428" s="58"/>
      <c r="F428" s="50">
        <f>ROUND(SUM(F422:F427),5)</f>
        <v>7849.17</v>
      </c>
    </row>
    <row r="429" spans="1:6" x14ac:dyDescent="0.25">
      <c r="A429" s="42" t="s">
        <v>563</v>
      </c>
      <c r="B429" s="42"/>
      <c r="C429" s="43"/>
      <c r="D429" s="42"/>
      <c r="E429" s="57"/>
      <c r="F429" s="44"/>
    </row>
    <row r="430" spans="1:6" ht="15.6" thickBot="1" x14ac:dyDescent="0.3">
      <c r="A430" s="46"/>
      <c r="B430" s="47" t="s">
        <v>65</v>
      </c>
      <c r="C430" s="48">
        <v>46226</v>
      </c>
      <c r="D430" s="47" t="s">
        <v>564</v>
      </c>
      <c r="E430" s="58" t="s">
        <v>113</v>
      </c>
      <c r="F430" s="49">
        <v>4371.3599999999997</v>
      </c>
    </row>
    <row r="431" spans="1:6" x14ac:dyDescent="0.25">
      <c r="A431" s="47" t="s">
        <v>565</v>
      </c>
      <c r="B431" s="47"/>
      <c r="C431" s="48"/>
      <c r="D431" s="47"/>
      <c r="E431" s="58"/>
      <c r="F431" s="50">
        <f>ROUND(SUM(F429:F430),5)</f>
        <v>4371.3599999999997</v>
      </c>
    </row>
    <row r="432" spans="1:6" x14ac:dyDescent="0.25">
      <c r="A432" s="42" t="s">
        <v>430</v>
      </c>
      <c r="B432" s="42"/>
      <c r="C432" s="43"/>
      <c r="D432" s="42"/>
      <c r="E432" s="57"/>
      <c r="F432" s="44"/>
    </row>
    <row r="433" spans="1:6" ht="15.6" thickBot="1" x14ac:dyDescent="0.3">
      <c r="A433" s="46"/>
      <c r="B433" s="47" t="s">
        <v>65</v>
      </c>
      <c r="C433" s="48">
        <v>46090</v>
      </c>
      <c r="D433" s="47" t="s">
        <v>431</v>
      </c>
      <c r="E433" s="58" t="s">
        <v>155</v>
      </c>
      <c r="F433" s="50">
        <v>67.2</v>
      </c>
    </row>
    <row r="434" spans="1:6" x14ac:dyDescent="0.25">
      <c r="A434" s="47" t="s">
        <v>432</v>
      </c>
      <c r="B434" s="47"/>
      <c r="C434" s="48"/>
      <c r="D434" s="47"/>
      <c r="E434" s="47"/>
      <c r="F434" s="51">
        <f>ROUND(SUM(F432:F433),5)</f>
        <v>67.2</v>
      </c>
    </row>
    <row r="435" spans="1:6" s="56" customFormat="1" ht="17.399999999999999" x14ac:dyDescent="0.25">
      <c r="A435" s="52" t="s">
        <v>75</v>
      </c>
      <c r="B435" s="53"/>
      <c r="C435" s="54"/>
      <c r="D435" s="53"/>
      <c r="E435" s="53"/>
      <c r="F435" s="55">
        <f>ROUND(F4+F11+F31+F34+F37+F40+F46+F51+F54+F58+F66+F69+F72+F75+F80+F86+F89+F119+F124+F129+F163+F170+F177+F180+F183+F187+F191+F194+F200+F203+F206+F215+F225+F230+F233+F250+F254+F257+F311+F314+F317+F396+F399+F403+F408+F411+F414+F417+F421+F428+F431+F434,5)</f>
        <v>622211.43999999994</v>
      </c>
    </row>
  </sheetData>
  <autoFilter ref="E1:E435" xr:uid="{A5B1E958-712D-432C-9952-3C2B8089A5A9}"/>
  <pageMargins left="0.7" right="0.7" top="0.75" bottom="0.75" header="0.1" footer="0.3"/>
  <pageSetup orientation="portrait" r:id="rId1"/>
  <headerFooter>
    <oddHeader>&amp;L&amp;"Arial,Bold"&amp;8 11:22 AM
&amp;"Arial,Bold"&amp;8 07/29/26
&amp;"Arial,Bold"&amp;8 Accrual Basis&amp;C&amp;"Arial,Bold"&amp;12 McMann Group Inc
&amp;"Arial,Bold"&amp;14 Transactions by Account
&amp;"Arial,Bold"&amp;10 All Transactions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30480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30480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Cost Breakdown</vt:lpstr>
      <vt:lpstr>Timesheet</vt:lpstr>
      <vt:lpstr>Material</vt:lpstr>
      <vt:lpstr>Material!Print_Titles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Ibn Alamir</cp:lastModifiedBy>
  <dcterms:modified xsi:type="dcterms:W3CDTF">2026-07-29T21:25:33Z</dcterms:modified>
</cp:coreProperties>
</file>